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doyib\Desktop\PORTFOLIO\"/>
    </mc:Choice>
  </mc:AlternateContent>
  <xr:revisionPtr revIDLastSave="0" documentId="13_ncr:1_{3D4AD39C-ACD3-43BC-AE06-9F8F8FE8722A}" xr6:coauthVersionLast="47" xr6:coauthVersionMax="47" xr10:uidLastSave="{00000000-0000-0000-0000-000000000000}"/>
  <bookViews>
    <workbookView minimized="1" xWindow="5940" yWindow="2925" windowWidth="15375" windowHeight="7785" tabRatio="634" activeTab="14" xr2:uid="{00000000-000D-0000-FFFF-FFFF00000000}"/>
  </bookViews>
  <sheets>
    <sheet name="HOME" sheetId="12" r:id="rId1"/>
    <sheet name="DASHBOARD" sheetId="11" r:id="rId2"/>
    <sheet name="T L" sheetId="26" state="hidden" r:id="rId3"/>
    <sheet name="AVG PER GENDER" sheetId="27" state="hidden" r:id="rId4"/>
    <sheet name="CLASS COMPO" sheetId="40" state="hidden" r:id="rId5"/>
    <sheet name="AVG SUB" sheetId="41" state="hidden" r:id="rId6"/>
    <sheet name="PASS RATE" sheetId="43" state="hidden" r:id="rId7"/>
    <sheet name="Sheet5" sheetId="44" state="hidden" r:id="rId8"/>
    <sheet name="MAX MIN" sheetId="47" state="hidden" r:id="rId9"/>
    <sheet name="HIGHEST" sheetId="48" state="hidden" r:id="rId10"/>
    <sheet name="Sheet10 (2)" sheetId="50" state="hidden" r:id="rId11"/>
    <sheet name="Sheet10" sheetId="49" state="hidden" r:id="rId12"/>
    <sheet name="Sheet4" sheetId="54" state="hidden" r:id="rId13"/>
    <sheet name="DATA" sheetId="23" r:id="rId14"/>
    <sheet name="Sheet1" sheetId="55" r:id="rId15"/>
    <sheet name="MATH" sheetId="1" state="hidden" r:id="rId16"/>
    <sheet name="ENGLISH" sheetId="2" state="hidden" r:id="rId17"/>
    <sheet name="COMPUTING" sheetId="15" state="hidden" r:id="rId18"/>
    <sheet name="FRENCH" sheetId="16" state="hidden" r:id="rId19"/>
    <sheet name="SCIENCE" sheetId="3" state="hidden" r:id="rId20"/>
    <sheet name="OWOP" sheetId="4" state="hidden" r:id="rId21"/>
    <sheet name="RME" sheetId="5" state="hidden" r:id="rId22"/>
    <sheet name="HISTORY." sheetId="6" state="hidden" r:id="rId23"/>
    <sheet name="TWI" sheetId="8" state="hidden" r:id="rId24"/>
    <sheet name="CA" sheetId="9" state="hidden" r:id="rId25"/>
  </sheets>
  <definedNames>
    <definedName name="_xlnm._FilterDatabase" localSheetId="15" hidden="1">MATH!$A$3:$K$81</definedName>
    <definedName name="_xlchart.v1.0" hidden="1">DATA!$O$3:$O$80</definedName>
    <definedName name="Slicer_BASIC1">#N/A</definedName>
    <definedName name="Slicer_GENDER">#N/A</definedName>
  </definedNames>
  <calcPr calcId="191029"/>
  <pivotCaches>
    <pivotCache cacheId="2" r:id="rId26"/>
  </pivotCaches>
  <extLst>
    <ext xmlns:x14="http://schemas.microsoft.com/office/spreadsheetml/2009/9/main" uri="{BBE1A952-AA13-448e-AADC-164F8A28A991}">
      <x14:slicerCaches>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55" l="1"/>
  <c r="C3" i="55"/>
  <c r="E7" i="23"/>
  <c r="E3" i="23"/>
  <c r="F3" i="23"/>
  <c r="G3" i="23"/>
  <c r="H3" i="23"/>
  <c r="I3" i="23"/>
  <c r="J3" i="23"/>
  <c r="K3" i="23"/>
  <c r="L3" i="23"/>
  <c r="E4" i="23"/>
  <c r="F4" i="23"/>
  <c r="O4" i="23" s="1"/>
  <c r="G4" i="23"/>
  <c r="P4" i="23" s="1"/>
  <c r="H4" i="23"/>
  <c r="I4" i="23"/>
  <c r="J4" i="23"/>
  <c r="K4" i="23"/>
  <c r="L4" i="23"/>
  <c r="E5" i="23"/>
  <c r="F5" i="23"/>
  <c r="O5" i="23" s="1"/>
  <c r="G5" i="23"/>
  <c r="P5" i="23" s="1"/>
  <c r="H5" i="23"/>
  <c r="I5" i="23"/>
  <c r="J5" i="23"/>
  <c r="K5" i="23"/>
  <c r="L5" i="23"/>
  <c r="E6" i="23"/>
  <c r="F6" i="23"/>
  <c r="O6" i="23" s="1"/>
  <c r="G6" i="23"/>
  <c r="H6" i="23"/>
  <c r="I6" i="23"/>
  <c r="J6" i="23"/>
  <c r="K6" i="23"/>
  <c r="L6" i="23"/>
  <c r="P6" i="23"/>
  <c r="F7" i="23"/>
  <c r="G7" i="23"/>
  <c r="H7" i="23"/>
  <c r="I7" i="23"/>
  <c r="J7" i="23"/>
  <c r="K7" i="23"/>
  <c r="L7" i="23"/>
  <c r="E8" i="23"/>
  <c r="F8" i="23"/>
  <c r="G8" i="23"/>
  <c r="H8" i="23"/>
  <c r="I8" i="23"/>
  <c r="J8" i="23"/>
  <c r="K8" i="23"/>
  <c r="L8" i="23"/>
  <c r="E9" i="23"/>
  <c r="F9" i="23"/>
  <c r="G9" i="23"/>
  <c r="H9" i="23"/>
  <c r="I9" i="23"/>
  <c r="J9" i="23"/>
  <c r="K9" i="23"/>
  <c r="L9" i="23"/>
  <c r="E10" i="23"/>
  <c r="P10" i="23" s="1"/>
  <c r="F10" i="23"/>
  <c r="G10" i="23"/>
  <c r="H10" i="23"/>
  <c r="I10" i="23"/>
  <c r="J10" i="23"/>
  <c r="K10" i="23"/>
  <c r="L10" i="23"/>
  <c r="O10" i="23" s="1"/>
  <c r="E11" i="23"/>
  <c r="F11" i="23"/>
  <c r="G11" i="23"/>
  <c r="H11" i="23"/>
  <c r="I11" i="23"/>
  <c r="J11" i="23"/>
  <c r="K11" i="23"/>
  <c r="L11" i="23"/>
  <c r="E12" i="23"/>
  <c r="F12" i="23"/>
  <c r="O12" i="23" s="1"/>
  <c r="G12" i="23"/>
  <c r="P12" i="23" s="1"/>
  <c r="H12" i="23"/>
  <c r="I12" i="23"/>
  <c r="J12" i="23"/>
  <c r="K12" i="23"/>
  <c r="L12" i="23"/>
  <c r="E13" i="23"/>
  <c r="F13" i="23"/>
  <c r="G13" i="23"/>
  <c r="H13" i="23"/>
  <c r="I13" i="23"/>
  <c r="J13" i="23"/>
  <c r="K13" i="23"/>
  <c r="L13" i="23"/>
  <c r="E14" i="23"/>
  <c r="F14" i="23"/>
  <c r="G14" i="23"/>
  <c r="P14" i="23" s="1"/>
  <c r="H14" i="23"/>
  <c r="I14" i="23"/>
  <c r="J14" i="23"/>
  <c r="K14" i="23"/>
  <c r="L14" i="23"/>
  <c r="E15" i="23"/>
  <c r="F15" i="23"/>
  <c r="G15" i="23"/>
  <c r="H15" i="23"/>
  <c r="I15" i="23"/>
  <c r="J15" i="23"/>
  <c r="K15" i="23"/>
  <c r="L15" i="23"/>
  <c r="E16" i="23"/>
  <c r="P16" i="23" s="1"/>
  <c r="F16" i="23"/>
  <c r="G16" i="23"/>
  <c r="H16" i="23"/>
  <c r="I16" i="23"/>
  <c r="J16" i="23"/>
  <c r="K16" i="23"/>
  <c r="L16" i="23"/>
  <c r="O16" i="23"/>
  <c r="E17" i="23"/>
  <c r="F17" i="23"/>
  <c r="G17" i="23"/>
  <c r="H17" i="23"/>
  <c r="I17" i="23"/>
  <c r="J17" i="23"/>
  <c r="K17" i="23"/>
  <c r="L17" i="23"/>
  <c r="E18" i="23"/>
  <c r="F18" i="23"/>
  <c r="G18" i="23"/>
  <c r="H18" i="23"/>
  <c r="I18" i="23"/>
  <c r="J18" i="23"/>
  <c r="K18" i="23"/>
  <c r="L18" i="23"/>
  <c r="E19" i="23"/>
  <c r="F19" i="23"/>
  <c r="G19" i="23"/>
  <c r="H19" i="23"/>
  <c r="I19" i="23"/>
  <c r="J19" i="23"/>
  <c r="K19" i="23"/>
  <c r="L19" i="23"/>
  <c r="E20" i="23"/>
  <c r="F20" i="23"/>
  <c r="O20" i="23" s="1"/>
  <c r="G20" i="23"/>
  <c r="P20" i="23" s="1"/>
  <c r="H20" i="23"/>
  <c r="I20" i="23"/>
  <c r="J20" i="23"/>
  <c r="K20" i="23"/>
  <c r="L20" i="23"/>
  <c r="E21" i="23"/>
  <c r="F21" i="23"/>
  <c r="O21" i="23" s="1"/>
  <c r="R21" i="23" s="1"/>
  <c r="G21" i="23"/>
  <c r="P21" i="23" s="1"/>
  <c r="H21" i="23"/>
  <c r="I21" i="23"/>
  <c r="J21" i="23"/>
  <c r="K21" i="23"/>
  <c r="L21" i="23"/>
  <c r="E22" i="23"/>
  <c r="F22" i="23"/>
  <c r="P22" i="23" s="1"/>
  <c r="G22" i="23"/>
  <c r="H22" i="23"/>
  <c r="I22" i="23"/>
  <c r="J22" i="23"/>
  <c r="K22" i="23"/>
  <c r="L22" i="23"/>
  <c r="E23" i="23"/>
  <c r="F23" i="23"/>
  <c r="G23" i="23"/>
  <c r="H23" i="23"/>
  <c r="I23" i="23"/>
  <c r="J23" i="23"/>
  <c r="K23" i="23"/>
  <c r="L23" i="23"/>
  <c r="E24" i="23"/>
  <c r="F24" i="23"/>
  <c r="G24" i="23"/>
  <c r="H24" i="23"/>
  <c r="I24" i="23"/>
  <c r="J24" i="23"/>
  <c r="K24" i="23"/>
  <c r="L24" i="23"/>
  <c r="E25" i="23"/>
  <c r="F25" i="23"/>
  <c r="G25" i="23"/>
  <c r="H25" i="23"/>
  <c r="I25" i="23"/>
  <c r="J25" i="23"/>
  <c r="K25" i="23"/>
  <c r="L25" i="23"/>
  <c r="E26" i="23"/>
  <c r="F26" i="23"/>
  <c r="G26" i="23"/>
  <c r="H26" i="23"/>
  <c r="I26" i="23"/>
  <c r="J26" i="23"/>
  <c r="K26" i="23"/>
  <c r="O26" i="23" s="1"/>
  <c r="L26" i="23"/>
  <c r="E27" i="23"/>
  <c r="F27" i="23"/>
  <c r="G27" i="23"/>
  <c r="H27" i="23"/>
  <c r="I27" i="23"/>
  <c r="J27" i="23"/>
  <c r="K27" i="23"/>
  <c r="L27" i="23"/>
  <c r="E28" i="23"/>
  <c r="F28" i="23"/>
  <c r="O28" i="23" s="1"/>
  <c r="G28" i="23"/>
  <c r="H28" i="23"/>
  <c r="I28" i="23"/>
  <c r="J28" i="23"/>
  <c r="K28" i="23"/>
  <c r="L28" i="23"/>
  <c r="P28" i="23"/>
  <c r="E29" i="23"/>
  <c r="F29" i="23"/>
  <c r="G29" i="23"/>
  <c r="H29" i="23"/>
  <c r="I29" i="23"/>
  <c r="J29" i="23"/>
  <c r="K29" i="23"/>
  <c r="L29" i="23"/>
  <c r="E30" i="23"/>
  <c r="F30" i="23"/>
  <c r="G30" i="23"/>
  <c r="J30" i="23"/>
  <c r="K30" i="23"/>
  <c r="E31" i="23"/>
  <c r="F31" i="23"/>
  <c r="G31" i="23"/>
  <c r="J31" i="23"/>
  <c r="K31" i="23"/>
  <c r="E32" i="23"/>
  <c r="F32" i="23"/>
  <c r="G32" i="23"/>
  <c r="J32" i="23"/>
  <c r="K32" i="23"/>
  <c r="E33" i="23"/>
  <c r="F33" i="23"/>
  <c r="G33" i="23"/>
  <c r="I33" i="23"/>
  <c r="J33" i="23"/>
  <c r="K33" i="23"/>
  <c r="E34" i="23"/>
  <c r="F34" i="23"/>
  <c r="G34" i="23"/>
  <c r="I34" i="23"/>
  <c r="J34" i="23"/>
  <c r="K34" i="23"/>
  <c r="E35" i="23"/>
  <c r="F35" i="23"/>
  <c r="G35" i="23"/>
  <c r="I35" i="23"/>
  <c r="J35" i="23"/>
  <c r="K35" i="23"/>
  <c r="E36" i="23"/>
  <c r="F36" i="23"/>
  <c r="G36" i="23"/>
  <c r="I36" i="23"/>
  <c r="J36" i="23"/>
  <c r="K36" i="23"/>
  <c r="E37" i="23"/>
  <c r="F37" i="23"/>
  <c r="G37" i="23"/>
  <c r="I37" i="23"/>
  <c r="J37" i="23"/>
  <c r="K37" i="23"/>
  <c r="E38" i="23"/>
  <c r="F38" i="23"/>
  <c r="G38" i="23"/>
  <c r="I38" i="23"/>
  <c r="J38" i="23"/>
  <c r="K38" i="23"/>
  <c r="Q38" i="23"/>
  <c r="E39" i="23"/>
  <c r="F39" i="23"/>
  <c r="G39" i="23"/>
  <c r="I39" i="23"/>
  <c r="J39" i="23"/>
  <c r="K39" i="23"/>
  <c r="Q39" i="23"/>
  <c r="E40" i="23"/>
  <c r="F40" i="23"/>
  <c r="G40" i="23"/>
  <c r="I40" i="23"/>
  <c r="J40" i="23"/>
  <c r="K40" i="23"/>
  <c r="Q40" i="23"/>
  <c r="E41" i="23"/>
  <c r="F41" i="23"/>
  <c r="G41" i="23"/>
  <c r="I41" i="23"/>
  <c r="J41" i="23"/>
  <c r="K41" i="23"/>
  <c r="Q41" i="23"/>
  <c r="E42" i="23"/>
  <c r="F42" i="23"/>
  <c r="G42" i="23"/>
  <c r="I42" i="23"/>
  <c r="J42" i="23"/>
  <c r="K42" i="23"/>
  <c r="Q42" i="23"/>
  <c r="E43" i="23"/>
  <c r="F43" i="23"/>
  <c r="G43" i="23"/>
  <c r="I43" i="23"/>
  <c r="J43" i="23"/>
  <c r="K43" i="23"/>
  <c r="Q43" i="23"/>
  <c r="E44" i="23"/>
  <c r="F44" i="23"/>
  <c r="G44" i="23"/>
  <c r="I44" i="23"/>
  <c r="J44" i="23"/>
  <c r="K44" i="23"/>
  <c r="Q44" i="23"/>
  <c r="E45" i="23"/>
  <c r="F45" i="23"/>
  <c r="G45" i="23"/>
  <c r="I45" i="23"/>
  <c r="J45" i="23"/>
  <c r="K45" i="23"/>
  <c r="Q45" i="23"/>
  <c r="E46" i="23"/>
  <c r="F46" i="23"/>
  <c r="G46" i="23"/>
  <c r="I46" i="23"/>
  <c r="J46" i="23"/>
  <c r="K46" i="23"/>
  <c r="Q46" i="23"/>
  <c r="E47" i="23"/>
  <c r="F47" i="23"/>
  <c r="G47" i="23"/>
  <c r="I47" i="23"/>
  <c r="J47" i="23"/>
  <c r="K47" i="23"/>
  <c r="Q47" i="23"/>
  <c r="E48" i="23"/>
  <c r="F48" i="23"/>
  <c r="G48" i="23"/>
  <c r="I48" i="23"/>
  <c r="J48" i="23"/>
  <c r="K48" i="23"/>
  <c r="Q48" i="23"/>
  <c r="E49" i="23"/>
  <c r="F49" i="23"/>
  <c r="G49" i="23"/>
  <c r="I49" i="23"/>
  <c r="J49" i="23"/>
  <c r="K49" i="23"/>
  <c r="Q49" i="23"/>
  <c r="E50" i="23"/>
  <c r="F50" i="23"/>
  <c r="G50" i="23"/>
  <c r="I50" i="23"/>
  <c r="J50" i="23"/>
  <c r="K50" i="23"/>
  <c r="Q50" i="23"/>
  <c r="E51" i="23"/>
  <c r="F51" i="23"/>
  <c r="G51" i="23"/>
  <c r="I51" i="23"/>
  <c r="J51" i="23"/>
  <c r="K51" i="23"/>
  <c r="Q51" i="23"/>
  <c r="E52" i="23"/>
  <c r="F52" i="23"/>
  <c r="G52" i="23"/>
  <c r="I52" i="23"/>
  <c r="J52" i="23"/>
  <c r="K52" i="23"/>
  <c r="Q52" i="23"/>
  <c r="E53" i="23"/>
  <c r="F53" i="23"/>
  <c r="G53" i="23"/>
  <c r="I53" i="23"/>
  <c r="J53" i="23"/>
  <c r="K53" i="23"/>
  <c r="Q53" i="23"/>
  <c r="E54" i="23"/>
  <c r="F54" i="23"/>
  <c r="G54" i="23"/>
  <c r="I54" i="23"/>
  <c r="J54" i="23"/>
  <c r="K54" i="23"/>
  <c r="Q54" i="23"/>
  <c r="E55" i="23"/>
  <c r="F55" i="23"/>
  <c r="O55" i="23" s="1"/>
  <c r="G55" i="23"/>
  <c r="H55" i="23"/>
  <c r="I55" i="23"/>
  <c r="J55" i="23"/>
  <c r="K55" i="23"/>
  <c r="L55" i="23"/>
  <c r="Q55" i="23"/>
  <c r="E56" i="23"/>
  <c r="F56" i="23"/>
  <c r="G56" i="23"/>
  <c r="H56" i="23"/>
  <c r="I56" i="23"/>
  <c r="J56" i="23"/>
  <c r="K56" i="23"/>
  <c r="L56" i="23"/>
  <c r="Q56" i="23"/>
  <c r="E57" i="23"/>
  <c r="F57" i="23"/>
  <c r="O57" i="23" s="1"/>
  <c r="G57" i="23"/>
  <c r="H57" i="23"/>
  <c r="I57" i="23"/>
  <c r="J57" i="23"/>
  <c r="K57" i="23"/>
  <c r="L57" i="23"/>
  <c r="P57" i="23"/>
  <c r="Q57" i="23"/>
  <c r="E58" i="23"/>
  <c r="F58" i="23"/>
  <c r="G58" i="23"/>
  <c r="P58" i="23" s="1"/>
  <c r="H58" i="23"/>
  <c r="I58" i="23"/>
  <c r="J58" i="23"/>
  <c r="K58" i="23"/>
  <c r="L58" i="23"/>
  <c r="Q58" i="23"/>
  <c r="E59" i="23"/>
  <c r="P59" i="23" s="1"/>
  <c r="F59" i="23"/>
  <c r="G59" i="23"/>
  <c r="H59" i="23"/>
  <c r="I59" i="23"/>
  <c r="J59" i="23"/>
  <c r="K59" i="23"/>
  <c r="L59" i="23"/>
  <c r="O59" i="23"/>
  <c r="Q59" i="23"/>
  <c r="E60" i="23"/>
  <c r="F60" i="23"/>
  <c r="O60" i="23" s="1"/>
  <c r="R60" i="23" s="1"/>
  <c r="G60" i="23"/>
  <c r="H60" i="23"/>
  <c r="I60" i="23"/>
  <c r="J60" i="23"/>
  <c r="K60" i="23"/>
  <c r="L60" i="23"/>
  <c r="Q60" i="23"/>
  <c r="E61" i="23"/>
  <c r="P61" i="23" s="1"/>
  <c r="F61" i="23"/>
  <c r="G61" i="23"/>
  <c r="H61" i="23"/>
  <c r="I61" i="23"/>
  <c r="J61" i="23"/>
  <c r="K61" i="23"/>
  <c r="L61" i="23"/>
  <c r="O61" i="23"/>
  <c r="Q61" i="23"/>
  <c r="E62" i="23"/>
  <c r="F62" i="23"/>
  <c r="P62" i="23" s="1"/>
  <c r="G62" i="23"/>
  <c r="H62" i="23"/>
  <c r="I62" i="23"/>
  <c r="J62" i="23"/>
  <c r="K62" i="23"/>
  <c r="L62" i="23"/>
  <c r="Q62" i="23"/>
  <c r="E63" i="23"/>
  <c r="F63" i="23"/>
  <c r="O63" i="23" s="1"/>
  <c r="G63" i="23"/>
  <c r="H63" i="23"/>
  <c r="I63" i="23"/>
  <c r="J63" i="23"/>
  <c r="K63" i="23"/>
  <c r="L63" i="23"/>
  <c r="Q63" i="23"/>
  <c r="E64" i="23"/>
  <c r="F64" i="23"/>
  <c r="O64" i="23" s="1"/>
  <c r="R64" i="23" s="1"/>
  <c r="G64" i="23"/>
  <c r="H64" i="23"/>
  <c r="I64" i="23"/>
  <c r="J64" i="23"/>
  <c r="K64" i="23"/>
  <c r="L64" i="23"/>
  <c r="Q64" i="23"/>
  <c r="S64" i="23"/>
  <c r="E65" i="23"/>
  <c r="O65" i="23" s="1"/>
  <c r="F65" i="23"/>
  <c r="P65" i="23" s="1"/>
  <c r="G65" i="23"/>
  <c r="H65" i="23"/>
  <c r="I65" i="23"/>
  <c r="J65" i="23"/>
  <c r="K65" i="23"/>
  <c r="L65" i="23"/>
  <c r="Q65" i="23"/>
  <c r="E66" i="23"/>
  <c r="F66" i="23"/>
  <c r="G66" i="23"/>
  <c r="H66" i="23"/>
  <c r="I66" i="23"/>
  <c r="J66" i="23"/>
  <c r="K66" i="23"/>
  <c r="L66" i="23"/>
  <c r="Q66" i="23"/>
  <c r="E67" i="23"/>
  <c r="F67" i="23"/>
  <c r="O67" i="23" s="1"/>
  <c r="G67" i="23"/>
  <c r="H67" i="23"/>
  <c r="I67" i="23"/>
  <c r="J67" i="23"/>
  <c r="K67" i="23"/>
  <c r="L67" i="23"/>
  <c r="P67" i="23"/>
  <c r="Q67" i="23"/>
  <c r="E68" i="23"/>
  <c r="F68" i="23"/>
  <c r="O68" i="23" s="1"/>
  <c r="R68" i="23" s="1"/>
  <c r="G68" i="23"/>
  <c r="H68" i="23"/>
  <c r="I68" i="23"/>
  <c r="J68" i="23"/>
  <c r="K68" i="23"/>
  <c r="L68" i="23"/>
  <c r="Q68" i="23"/>
  <c r="S68" i="23"/>
  <c r="E69" i="23"/>
  <c r="F69" i="23"/>
  <c r="G69" i="23"/>
  <c r="H69" i="23"/>
  <c r="I69" i="23"/>
  <c r="J69" i="23"/>
  <c r="K69" i="23"/>
  <c r="L69" i="23"/>
  <c r="O69" i="23" s="1"/>
  <c r="Q69" i="23"/>
  <c r="E70" i="23"/>
  <c r="F70" i="23"/>
  <c r="G70" i="23"/>
  <c r="H70" i="23"/>
  <c r="I70" i="23"/>
  <c r="J70" i="23"/>
  <c r="K70" i="23"/>
  <c r="L70" i="23"/>
  <c r="Q70" i="23"/>
  <c r="E71" i="23"/>
  <c r="F71" i="23"/>
  <c r="P71" i="23" s="1"/>
  <c r="G71" i="23"/>
  <c r="H71" i="23"/>
  <c r="I71" i="23"/>
  <c r="J71" i="23"/>
  <c r="K71" i="23"/>
  <c r="L71" i="23"/>
  <c r="Q71" i="23"/>
  <c r="E72" i="23"/>
  <c r="F72" i="23"/>
  <c r="O72" i="23" s="1"/>
  <c r="R72" i="23" s="1"/>
  <c r="G72" i="23"/>
  <c r="H72" i="23"/>
  <c r="I72" i="23"/>
  <c r="J72" i="23"/>
  <c r="K72" i="23"/>
  <c r="L72" i="23"/>
  <c r="Q72" i="23"/>
  <c r="E73" i="23"/>
  <c r="F73" i="23"/>
  <c r="O73" i="23" s="1"/>
  <c r="G73" i="23"/>
  <c r="H73" i="23"/>
  <c r="I73" i="23"/>
  <c r="J73" i="23"/>
  <c r="K73" i="23"/>
  <c r="L73" i="23"/>
  <c r="P73" i="23" s="1"/>
  <c r="Q73" i="23"/>
  <c r="E74" i="23"/>
  <c r="F74" i="23"/>
  <c r="G74" i="23"/>
  <c r="H74" i="23"/>
  <c r="I74" i="23"/>
  <c r="J74" i="23"/>
  <c r="K74" i="23"/>
  <c r="L74" i="23"/>
  <c r="Q74" i="23"/>
  <c r="E75" i="23"/>
  <c r="O75" i="23" s="1"/>
  <c r="F75" i="23"/>
  <c r="P75" i="23" s="1"/>
  <c r="G75" i="23"/>
  <c r="H75" i="23"/>
  <c r="I75" i="23"/>
  <c r="J75" i="23"/>
  <c r="K75" i="23"/>
  <c r="L75" i="23"/>
  <c r="Q75" i="23"/>
  <c r="E76" i="23"/>
  <c r="F76" i="23"/>
  <c r="G76" i="23"/>
  <c r="H76" i="23"/>
  <c r="I76" i="23"/>
  <c r="J76" i="23"/>
  <c r="K76" i="23"/>
  <c r="L76" i="23"/>
  <c r="Q76" i="23"/>
  <c r="E77" i="23"/>
  <c r="F77" i="23"/>
  <c r="G77" i="23"/>
  <c r="H77" i="23"/>
  <c r="I77" i="23"/>
  <c r="J77" i="23"/>
  <c r="K77" i="23"/>
  <c r="L77" i="23"/>
  <c r="O77" i="23" s="1"/>
  <c r="Q77" i="23"/>
  <c r="E78" i="23"/>
  <c r="F78" i="23"/>
  <c r="G78" i="23"/>
  <c r="H78" i="23"/>
  <c r="I78" i="23"/>
  <c r="J78" i="23"/>
  <c r="K78" i="23"/>
  <c r="L78" i="23"/>
  <c r="Q78" i="23"/>
  <c r="E79" i="23"/>
  <c r="F79" i="23"/>
  <c r="O79" i="23" s="1"/>
  <c r="G79" i="23"/>
  <c r="H79" i="23"/>
  <c r="I79" i="23"/>
  <c r="J79" i="23"/>
  <c r="K79" i="23"/>
  <c r="L79" i="23"/>
  <c r="Q79" i="23"/>
  <c r="E80" i="23"/>
  <c r="E52" i="15"/>
  <c r="I31" i="5"/>
  <c r="I32" i="5"/>
  <c r="I30" i="5"/>
  <c r="J30" i="5" s="1"/>
  <c r="D31" i="5"/>
  <c r="D32" i="5"/>
  <c r="D30" i="5"/>
  <c r="E30" i="5" s="1"/>
  <c r="B31" i="5"/>
  <c r="B32" i="5"/>
  <c r="B30" i="5"/>
  <c r="C30" i="5" s="1"/>
  <c r="I31" i="4"/>
  <c r="I32" i="4"/>
  <c r="I33" i="4"/>
  <c r="I34" i="4"/>
  <c r="I35" i="4"/>
  <c r="I36" i="4"/>
  <c r="I37" i="4"/>
  <c r="I38" i="4"/>
  <c r="I39" i="4"/>
  <c r="I40" i="4"/>
  <c r="I41" i="4"/>
  <c r="I42" i="4"/>
  <c r="I43" i="4"/>
  <c r="I44" i="4"/>
  <c r="I45" i="4"/>
  <c r="I46" i="4"/>
  <c r="I47" i="4"/>
  <c r="I48" i="4"/>
  <c r="I49" i="4"/>
  <c r="I50" i="4"/>
  <c r="I51" i="4"/>
  <c r="I52" i="4"/>
  <c r="I53" i="4"/>
  <c r="I54" i="4"/>
  <c r="I30" i="4"/>
  <c r="J30" i="4" s="1"/>
  <c r="D31" i="4"/>
  <c r="E31" i="4" s="1"/>
  <c r="D32" i="4"/>
  <c r="E32" i="4" s="1"/>
  <c r="D33" i="4"/>
  <c r="E33" i="4" s="1"/>
  <c r="D34" i="4"/>
  <c r="E34" i="4" s="1"/>
  <c r="D35" i="4"/>
  <c r="E35" i="4" s="1"/>
  <c r="D36" i="4"/>
  <c r="E36" i="4" s="1"/>
  <c r="D37" i="4"/>
  <c r="E37" i="4" s="1"/>
  <c r="D38" i="4"/>
  <c r="E38" i="4" s="1"/>
  <c r="D39" i="4"/>
  <c r="E39" i="4" s="1"/>
  <c r="D40" i="4"/>
  <c r="E40" i="4" s="1"/>
  <c r="D41" i="4"/>
  <c r="E41" i="4" s="1"/>
  <c r="D42" i="4"/>
  <c r="E42" i="4" s="1"/>
  <c r="D43" i="4"/>
  <c r="E43" i="4" s="1"/>
  <c r="D44" i="4"/>
  <c r="E44" i="4" s="1"/>
  <c r="D45" i="4"/>
  <c r="E45" i="4" s="1"/>
  <c r="D46" i="4"/>
  <c r="E46" i="4" s="1"/>
  <c r="D47" i="4"/>
  <c r="E47" i="4" s="1"/>
  <c r="D48" i="4"/>
  <c r="E48" i="4" s="1"/>
  <c r="D49" i="4"/>
  <c r="E49" i="4" s="1"/>
  <c r="D50" i="4"/>
  <c r="E50" i="4" s="1"/>
  <c r="D51" i="4"/>
  <c r="E51" i="4" s="1"/>
  <c r="D52" i="4"/>
  <c r="E52" i="4" s="1"/>
  <c r="D53" i="4"/>
  <c r="E53" i="4" s="1"/>
  <c r="D54" i="4"/>
  <c r="E54" i="4" s="1"/>
  <c r="D30" i="4"/>
  <c r="E30" i="4" s="1"/>
  <c r="B31" i="4"/>
  <c r="B32" i="4"/>
  <c r="B33" i="4"/>
  <c r="B34" i="4"/>
  <c r="B35" i="4"/>
  <c r="B36" i="4"/>
  <c r="B37" i="4"/>
  <c r="B38" i="4"/>
  <c r="B39" i="4"/>
  <c r="B40" i="4"/>
  <c r="B41" i="4"/>
  <c r="B42" i="4"/>
  <c r="B43" i="4"/>
  <c r="B44" i="4"/>
  <c r="B45" i="4"/>
  <c r="B46" i="4"/>
  <c r="B47" i="4"/>
  <c r="B48" i="4"/>
  <c r="B49" i="4"/>
  <c r="B50" i="4"/>
  <c r="B51" i="4"/>
  <c r="B52" i="4"/>
  <c r="B53" i="4"/>
  <c r="B54" i="4"/>
  <c r="B30" i="4"/>
  <c r="C30" i="4" s="1"/>
  <c r="I31" i="6"/>
  <c r="I32" i="6"/>
  <c r="I33" i="6"/>
  <c r="I34" i="6"/>
  <c r="I35" i="6"/>
  <c r="I36" i="6"/>
  <c r="I37" i="6"/>
  <c r="I38" i="6"/>
  <c r="I39" i="6"/>
  <c r="I40" i="6"/>
  <c r="I41" i="6"/>
  <c r="I42" i="6"/>
  <c r="I43" i="6"/>
  <c r="I44" i="6"/>
  <c r="I45" i="6"/>
  <c r="I46" i="6"/>
  <c r="I47" i="6"/>
  <c r="I48" i="6"/>
  <c r="I49" i="6"/>
  <c r="I50" i="6"/>
  <c r="I51" i="6"/>
  <c r="I52" i="6"/>
  <c r="I53" i="6"/>
  <c r="I54" i="6"/>
  <c r="I30" i="6"/>
  <c r="J30" i="6" s="1"/>
  <c r="D31" i="6"/>
  <c r="D32" i="6"/>
  <c r="D33" i="6"/>
  <c r="D34" i="6"/>
  <c r="D35" i="6"/>
  <c r="D36" i="6"/>
  <c r="D37" i="6"/>
  <c r="D38" i="6"/>
  <c r="D39" i="6"/>
  <c r="D40" i="6"/>
  <c r="D41" i="6"/>
  <c r="D42" i="6"/>
  <c r="D43" i="6"/>
  <c r="D44" i="6"/>
  <c r="D45" i="6"/>
  <c r="D46" i="6"/>
  <c r="D47" i="6"/>
  <c r="D48" i="6"/>
  <c r="D49" i="6"/>
  <c r="D50" i="6"/>
  <c r="D51" i="6"/>
  <c r="D52" i="6"/>
  <c r="D53" i="6"/>
  <c r="D54" i="6"/>
  <c r="D30" i="6"/>
  <c r="E30" i="6" s="1"/>
  <c r="B30" i="6"/>
  <c r="C30" i="6" s="1"/>
  <c r="B31" i="6"/>
  <c r="B32" i="6"/>
  <c r="B33" i="6"/>
  <c r="B34" i="6"/>
  <c r="B35" i="6"/>
  <c r="B36" i="6"/>
  <c r="B37" i="6"/>
  <c r="B38" i="6"/>
  <c r="B39" i="6"/>
  <c r="B40" i="6"/>
  <c r="B41" i="6"/>
  <c r="B42" i="6"/>
  <c r="B43" i="6"/>
  <c r="B44" i="6"/>
  <c r="B45" i="6"/>
  <c r="B46" i="6"/>
  <c r="B47" i="6"/>
  <c r="B48" i="6"/>
  <c r="B49" i="6"/>
  <c r="B50" i="6"/>
  <c r="B51" i="6"/>
  <c r="B52" i="6"/>
  <c r="B53" i="6"/>
  <c r="B54" i="6"/>
  <c r="Q80" i="23"/>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E54" i="2"/>
  <c r="K3" i="15"/>
  <c r="K4" i="15"/>
  <c r="K5" i="15"/>
  <c r="K6" i="15"/>
  <c r="K7" i="15"/>
  <c r="K8" i="15"/>
  <c r="K9" i="15"/>
  <c r="K10" i="15"/>
  <c r="K11" i="15"/>
  <c r="K12"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E41" i="15"/>
  <c r="E42" i="15"/>
  <c r="E43" i="15"/>
  <c r="E44" i="15"/>
  <c r="E45" i="15"/>
  <c r="E46" i="15"/>
  <c r="E47" i="15"/>
  <c r="E48" i="15"/>
  <c r="E49" i="15"/>
  <c r="E50" i="15"/>
  <c r="E51"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E35" i="15"/>
  <c r="E36" i="15"/>
  <c r="E37" i="15"/>
  <c r="E38" i="15"/>
  <c r="E39" i="15"/>
  <c r="E40" i="15"/>
  <c r="C35" i="15"/>
  <c r="C36" i="15"/>
  <c r="C37" i="15"/>
  <c r="C38" i="15"/>
  <c r="C39" i="15"/>
  <c r="C40" i="15"/>
  <c r="K80" i="23"/>
  <c r="G80" i="23"/>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C55" i="4"/>
  <c r="K3" i="6"/>
  <c r="K4" i="6"/>
  <c r="K5" i="6"/>
  <c r="K6" i="6"/>
  <c r="K7" i="6"/>
  <c r="K8" i="6"/>
  <c r="K9" i="6"/>
  <c r="K10" i="6"/>
  <c r="K11" i="6"/>
  <c r="K12" i="6"/>
  <c r="K13" i="6"/>
  <c r="K14" i="6"/>
  <c r="K15" i="6"/>
  <c r="K16" i="6"/>
  <c r="K17" i="6"/>
  <c r="K18" i="6"/>
  <c r="K19" i="6"/>
  <c r="K20" i="6"/>
  <c r="K21" i="6"/>
  <c r="K22" i="6"/>
  <c r="K23" i="6"/>
  <c r="K24" i="6"/>
  <c r="G30" i="5"/>
  <c r="C68" i="3"/>
  <c r="C67" i="3"/>
  <c r="C69" i="3"/>
  <c r="C70" i="3"/>
  <c r="C71" i="3"/>
  <c r="C72" i="3"/>
  <c r="C73" i="3"/>
  <c r="C74" i="3"/>
  <c r="C75" i="3"/>
  <c r="C76" i="3"/>
  <c r="C77" i="3"/>
  <c r="C78" i="3"/>
  <c r="C79" i="3"/>
  <c r="C80" i="3"/>
  <c r="C56" i="3"/>
  <c r="C57" i="3"/>
  <c r="C58" i="3"/>
  <c r="C59" i="3"/>
  <c r="C60" i="3"/>
  <c r="C61" i="3"/>
  <c r="C62" i="3"/>
  <c r="C63" i="3"/>
  <c r="C64" i="3"/>
  <c r="C65" i="3"/>
  <c r="C66" i="3"/>
  <c r="C30" i="3"/>
  <c r="E30" i="3"/>
  <c r="G30" i="3"/>
  <c r="H30" i="3"/>
  <c r="J30" i="3"/>
  <c r="K30" i="3"/>
  <c r="G30" i="6"/>
  <c r="E3" i="4"/>
  <c r="E4" i="4"/>
  <c r="E6" i="4"/>
  <c r="E7" i="4"/>
  <c r="E8" i="4"/>
  <c r="E9" i="4"/>
  <c r="E10" i="4"/>
  <c r="E11" i="4"/>
  <c r="E12" i="4"/>
  <c r="E13" i="4"/>
  <c r="E14" i="4"/>
  <c r="E15" i="4"/>
  <c r="E16" i="4"/>
  <c r="E17" i="4"/>
  <c r="E18" i="4"/>
  <c r="E19" i="4"/>
  <c r="E20" i="4"/>
  <c r="E21" i="4"/>
  <c r="E22" i="4"/>
  <c r="E23" i="4"/>
  <c r="E24" i="4"/>
  <c r="E25" i="4"/>
  <c r="E26" i="4"/>
  <c r="E27" i="4"/>
  <c r="E28" i="4"/>
  <c r="E29" i="4"/>
  <c r="E55" i="4"/>
  <c r="E56" i="4"/>
  <c r="E57" i="4"/>
  <c r="E58" i="4"/>
  <c r="E59" i="4"/>
  <c r="E60" i="4"/>
  <c r="E61" i="4"/>
  <c r="E62" i="4"/>
  <c r="E63" i="4"/>
  <c r="E64" i="4"/>
  <c r="E65" i="4"/>
  <c r="E66" i="4"/>
  <c r="E67" i="4"/>
  <c r="E68" i="4"/>
  <c r="E69" i="4"/>
  <c r="E70" i="4"/>
  <c r="E71" i="4"/>
  <c r="E72" i="4"/>
  <c r="E73" i="4"/>
  <c r="E74" i="4"/>
  <c r="E75" i="4"/>
  <c r="E76" i="4"/>
  <c r="E77" i="4"/>
  <c r="E78" i="4"/>
  <c r="E79" i="4"/>
  <c r="E80" i="4"/>
  <c r="E5" i="4"/>
  <c r="G30" i="4"/>
  <c r="K3" i="2"/>
  <c r="K4" i="2"/>
  <c r="K5" i="2"/>
  <c r="K6" i="2"/>
  <c r="K7" i="2"/>
  <c r="K8" i="2"/>
  <c r="K9" i="2"/>
  <c r="K10" i="2"/>
  <c r="K11" i="2"/>
  <c r="K12" i="2"/>
  <c r="K13" i="2"/>
  <c r="K14" i="2"/>
  <c r="K15" i="2"/>
  <c r="K16" i="2"/>
  <c r="K17" i="2"/>
  <c r="K18" i="2"/>
  <c r="K19" i="2"/>
  <c r="K20" i="2"/>
  <c r="K21" i="2"/>
  <c r="K22" i="2"/>
  <c r="K55" i="2"/>
  <c r="K56" i="2"/>
  <c r="K57" i="2"/>
  <c r="K58" i="2"/>
  <c r="K59" i="2"/>
  <c r="K60" i="2"/>
  <c r="K61" i="2"/>
  <c r="K62" i="2"/>
  <c r="K63" i="2"/>
  <c r="K64" i="2"/>
  <c r="K65" i="2"/>
  <c r="K66" i="2"/>
  <c r="K67" i="2"/>
  <c r="K68" i="2"/>
  <c r="K69" i="2"/>
  <c r="K70" i="2"/>
  <c r="K71" i="2"/>
  <c r="K72" i="2"/>
  <c r="K73" i="2"/>
  <c r="K74" i="2"/>
  <c r="K75" i="2"/>
  <c r="K76" i="2"/>
  <c r="K77" i="2"/>
  <c r="K78" i="2"/>
  <c r="K79" i="2"/>
  <c r="K80" i="2"/>
  <c r="F80" i="23"/>
  <c r="C29" i="8"/>
  <c r="E29" i="8"/>
  <c r="G29" i="8"/>
  <c r="H29" i="8"/>
  <c r="J29" i="8"/>
  <c r="K29" i="8"/>
  <c r="C30" i="15"/>
  <c r="E30" i="15"/>
  <c r="G30" i="15"/>
  <c r="H30" i="15"/>
  <c r="J30" i="15"/>
  <c r="P3" i="15"/>
  <c r="O5" i="15"/>
  <c r="N5" i="15"/>
  <c r="P4" i="15"/>
  <c r="O4" i="15"/>
  <c r="N4" i="15"/>
  <c r="O3" i="15"/>
  <c r="N3" i="15"/>
  <c r="P3" i="16"/>
  <c r="O5" i="16"/>
  <c r="N5" i="16"/>
  <c r="P4" i="16"/>
  <c r="O4" i="16"/>
  <c r="N4" i="16"/>
  <c r="O3" i="16"/>
  <c r="N3" i="16"/>
  <c r="P4" i="3"/>
  <c r="C30" i="16"/>
  <c r="E30" i="16"/>
  <c r="G30" i="16"/>
  <c r="H30" i="16"/>
  <c r="J30" i="16"/>
  <c r="K30" i="16"/>
  <c r="R65" i="23" l="1"/>
  <c r="S65" i="23"/>
  <c r="R28" i="23"/>
  <c r="S28" i="23"/>
  <c r="R77" i="23"/>
  <c r="S77" i="23"/>
  <c r="R69" i="23"/>
  <c r="S69" i="23"/>
  <c r="R57" i="23"/>
  <c r="S57" i="23"/>
  <c r="S12" i="23"/>
  <c r="R12" i="23"/>
  <c r="R75" i="23"/>
  <c r="S75" i="23"/>
  <c r="R6" i="23"/>
  <c r="S6" i="23"/>
  <c r="R73" i="23"/>
  <c r="S73" i="23"/>
  <c r="R67" i="23"/>
  <c r="S67" i="23"/>
  <c r="P78" i="23"/>
  <c r="R61" i="23"/>
  <c r="S61" i="23"/>
  <c r="O22" i="23"/>
  <c r="R20" i="23"/>
  <c r="S20" i="23"/>
  <c r="O78" i="23"/>
  <c r="P74" i="23"/>
  <c r="S21" i="23"/>
  <c r="O71" i="23"/>
  <c r="P8" i="23"/>
  <c r="P70" i="23"/>
  <c r="P66" i="23"/>
  <c r="R63" i="23"/>
  <c r="S63" i="23"/>
  <c r="P56" i="23"/>
  <c r="P26" i="23"/>
  <c r="O18" i="23"/>
  <c r="R10" i="23"/>
  <c r="S10" i="23"/>
  <c r="O8" i="23"/>
  <c r="P77" i="23"/>
  <c r="P76" i="23"/>
  <c r="P72" i="23"/>
  <c r="P63" i="23"/>
  <c r="P24" i="23"/>
  <c r="P18" i="23"/>
  <c r="P11" i="23"/>
  <c r="R79" i="23"/>
  <c r="S79" i="23"/>
  <c r="S72" i="23"/>
  <c r="P79" i="23"/>
  <c r="S60" i="23"/>
  <c r="P27" i="23"/>
  <c r="O11" i="23"/>
  <c r="O27" i="23"/>
  <c r="P17" i="23"/>
  <c r="O76" i="23"/>
  <c r="R59" i="23"/>
  <c r="S59" i="23"/>
  <c r="R55" i="23"/>
  <c r="S55" i="23"/>
  <c r="S26" i="23"/>
  <c r="R26" i="23"/>
  <c r="R16" i="23"/>
  <c r="S16" i="23"/>
  <c r="O15" i="23"/>
  <c r="R5" i="23"/>
  <c r="S5" i="23"/>
  <c r="R4" i="23"/>
  <c r="S4" i="23"/>
  <c r="P69" i="23"/>
  <c r="P68" i="23"/>
  <c r="P64" i="23"/>
  <c r="P55" i="23"/>
  <c r="O24" i="23"/>
  <c r="O14" i="23"/>
  <c r="O74" i="23"/>
  <c r="O58" i="23"/>
  <c r="P29" i="23"/>
  <c r="P23" i="23"/>
  <c r="O17" i="23"/>
  <c r="P7" i="23"/>
  <c r="P13" i="23"/>
  <c r="O70" i="23"/>
  <c r="O62" i="23"/>
  <c r="P60" i="23"/>
  <c r="O56" i="23"/>
  <c r="O13" i="23"/>
  <c r="P3" i="23"/>
  <c r="O66" i="23"/>
  <c r="O29" i="23"/>
  <c r="O23" i="23"/>
  <c r="O7" i="23"/>
  <c r="P25" i="23"/>
  <c r="O19" i="23"/>
  <c r="P9" i="23"/>
  <c r="O3" i="23"/>
  <c r="O25" i="23"/>
  <c r="P15" i="23"/>
  <c r="O9" i="23"/>
  <c r="P19" i="23"/>
  <c r="H30" i="5"/>
  <c r="K30" i="5"/>
  <c r="I30" i="23" s="1"/>
  <c r="H30" i="4"/>
  <c r="K30" i="4"/>
  <c r="H30" i="23" s="1"/>
  <c r="H30" i="6"/>
  <c r="K30" i="6" s="1"/>
  <c r="L30" i="23" s="1"/>
  <c r="A80" i="8"/>
  <c r="J30" i="2"/>
  <c r="G30" i="2"/>
  <c r="E30" i="2"/>
  <c r="C30" i="2"/>
  <c r="J61" i="1"/>
  <c r="J60" i="1"/>
  <c r="C31" i="1"/>
  <c r="E31" i="1"/>
  <c r="G31" i="1"/>
  <c r="H31" i="1"/>
  <c r="J31" i="1"/>
  <c r="J80" i="15"/>
  <c r="G80" i="15"/>
  <c r="H80" i="15"/>
  <c r="J80" i="23" s="1"/>
  <c r="J79" i="15"/>
  <c r="G79" i="15"/>
  <c r="H79" i="15"/>
  <c r="J78" i="15"/>
  <c r="G78" i="15"/>
  <c r="H78" i="15"/>
  <c r="J77" i="15"/>
  <c r="G77" i="15"/>
  <c r="H77" i="15"/>
  <c r="J76" i="15"/>
  <c r="G76" i="15"/>
  <c r="H76" i="15"/>
  <c r="J75" i="15"/>
  <c r="G75" i="15"/>
  <c r="H75" i="15"/>
  <c r="J74" i="15"/>
  <c r="G74" i="15"/>
  <c r="H74" i="15"/>
  <c r="J73" i="15"/>
  <c r="G73" i="15"/>
  <c r="H73" i="15"/>
  <c r="J72" i="15"/>
  <c r="G72" i="15"/>
  <c r="H72" i="15"/>
  <c r="J71" i="15"/>
  <c r="G71" i="15"/>
  <c r="H71" i="15"/>
  <c r="J70" i="15"/>
  <c r="G70" i="15"/>
  <c r="H70" i="15"/>
  <c r="J69" i="15"/>
  <c r="G69" i="15"/>
  <c r="H69" i="15"/>
  <c r="J68" i="15"/>
  <c r="G68" i="15"/>
  <c r="H68" i="15"/>
  <c r="J67" i="15"/>
  <c r="G67" i="15"/>
  <c r="H67" i="15"/>
  <c r="J66" i="15"/>
  <c r="G66" i="15"/>
  <c r="H66" i="15"/>
  <c r="J65" i="15"/>
  <c r="G65" i="15"/>
  <c r="H65" i="15"/>
  <c r="J64" i="15"/>
  <c r="G64" i="15"/>
  <c r="H64" i="15"/>
  <c r="J63" i="15"/>
  <c r="G63" i="15"/>
  <c r="H63" i="15"/>
  <c r="J62" i="15"/>
  <c r="G62" i="15"/>
  <c r="H62" i="15"/>
  <c r="J61" i="15"/>
  <c r="G61" i="15"/>
  <c r="H61" i="15"/>
  <c r="J60" i="15"/>
  <c r="G60" i="15"/>
  <c r="H60" i="15"/>
  <c r="J59" i="15"/>
  <c r="G59" i="15"/>
  <c r="H59" i="15"/>
  <c r="J58" i="15"/>
  <c r="G58" i="15"/>
  <c r="H58" i="15"/>
  <c r="J57" i="15"/>
  <c r="G57" i="15"/>
  <c r="H57" i="15"/>
  <c r="J56" i="15"/>
  <c r="G56" i="15"/>
  <c r="H56" i="15"/>
  <c r="J55" i="15"/>
  <c r="G55" i="15"/>
  <c r="H55" i="15"/>
  <c r="J54" i="15"/>
  <c r="G54" i="15"/>
  <c r="H54" i="15"/>
  <c r="J53" i="15"/>
  <c r="G53" i="15"/>
  <c r="H53" i="15"/>
  <c r="J52" i="15"/>
  <c r="G52" i="15"/>
  <c r="H52" i="15"/>
  <c r="J51" i="15"/>
  <c r="G51" i="15"/>
  <c r="H51" i="15"/>
  <c r="J50" i="15"/>
  <c r="G50" i="15"/>
  <c r="H50" i="15"/>
  <c r="J49" i="15"/>
  <c r="G49" i="15"/>
  <c r="H49" i="15"/>
  <c r="J48" i="15"/>
  <c r="G48" i="15"/>
  <c r="H48" i="15"/>
  <c r="J47" i="15"/>
  <c r="G47" i="15"/>
  <c r="H47" i="15"/>
  <c r="J46" i="15"/>
  <c r="G46" i="15"/>
  <c r="H46" i="15"/>
  <c r="J45" i="15"/>
  <c r="G45" i="15"/>
  <c r="H45" i="15"/>
  <c r="J44" i="15"/>
  <c r="G44" i="15"/>
  <c r="H44" i="15"/>
  <c r="J43" i="15"/>
  <c r="G43" i="15"/>
  <c r="H43" i="15"/>
  <c r="J42" i="15"/>
  <c r="G42" i="15"/>
  <c r="H42" i="15"/>
  <c r="J41" i="15"/>
  <c r="G41" i="15"/>
  <c r="H41" i="15"/>
  <c r="J40" i="15"/>
  <c r="G40" i="15"/>
  <c r="H40" i="15"/>
  <c r="J39" i="15"/>
  <c r="G39" i="15"/>
  <c r="H39" i="15"/>
  <c r="J38" i="15"/>
  <c r="G38" i="15"/>
  <c r="H38" i="15"/>
  <c r="J37" i="15"/>
  <c r="G37" i="15"/>
  <c r="H37" i="15"/>
  <c r="J36" i="15"/>
  <c r="G36" i="15"/>
  <c r="H36" i="15"/>
  <c r="J35" i="15"/>
  <c r="G35" i="15"/>
  <c r="H35" i="15"/>
  <c r="J34" i="15"/>
  <c r="G34" i="15"/>
  <c r="E34" i="15"/>
  <c r="C34" i="15"/>
  <c r="H34" i="15" s="1"/>
  <c r="J33" i="15"/>
  <c r="G33" i="15"/>
  <c r="E33" i="15"/>
  <c r="C33" i="15"/>
  <c r="H33" i="15" s="1"/>
  <c r="J32" i="15"/>
  <c r="G32" i="15"/>
  <c r="E32" i="15"/>
  <c r="C32" i="15"/>
  <c r="H32" i="15" s="1"/>
  <c r="J31" i="15"/>
  <c r="G31" i="15"/>
  <c r="E31" i="15"/>
  <c r="C31" i="15"/>
  <c r="H31" i="15" s="1"/>
  <c r="J29" i="15"/>
  <c r="G29" i="15"/>
  <c r="E29" i="15"/>
  <c r="C29" i="15"/>
  <c r="H29" i="15" s="1"/>
  <c r="J28" i="15"/>
  <c r="G28" i="15"/>
  <c r="E28" i="15"/>
  <c r="C28" i="15"/>
  <c r="H28" i="15" s="1"/>
  <c r="J27" i="15"/>
  <c r="G27" i="15"/>
  <c r="E27" i="15"/>
  <c r="C27" i="15"/>
  <c r="H27" i="15" s="1"/>
  <c r="J26" i="15"/>
  <c r="G26" i="15"/>
  <c r="E26" i="15"/>
  <c r="C26" i="15"/>
  <c r="H26" i="15" s="1"/>
  <c r="J25" i="15"/>
  <c r="G25" i="15"/>
  <c r="E25" i="15"/>
  <c r="C25" i="15"/>
  <c r="H25" i="15" s="1"/>
  <c r="J24" i="15"/>
  <c r="G24" i="15"/>
  <c r="E24" i="15"/>
  <c r="C24" i="15"/>
  <c r="H24" i="15" s="1"/>
  <c r="J23" i="15"/>
  <c r="G23" i="15"/>
  <c r="E23" i="15"/>
  <c r="C23" i="15"/>
  <c r="H23" i="15" s="1"/>
  <c r="J22" i="15"/>
  <c r="G22" i="15"/>
  <c r="E22" i="15"/>
  <c r="C22" i="15"/>
  <c r="H22" i="15" s="1"/>
  <c r="J21" i="15"/>
  <c r="G21" i="15"/>
  <c r="E21" i="15"/>
  <c r="C21" i="15"/>
  <c r="H21" i="15" s="1"/>
  <c r="J20" i="15"/>
  <c r="G20" i="15"/>
  <c r="E20" i="15"/>
  <c r="C20" i="15"/>
  <c r="H20" i="15" s="1"/>
  <c r="J19" i="15"/>
  <c r="G19" i="15"/>
  <c r="E19" i="15"/>
  <c r="C19" i="15"/>
  <c r="H19" i="15" s="1"/>
  <c r="J18" i="15"/>
  <c r="G18" i="15"/>
  <c r="E18" i="15"/>
  <c r="C18" i="15"/>
  <c r="H18" i="15" s="1"/>
  <c r="J17" i="15"/>
  <c r="G17" i="15"/>
  <c r="E17" i="15"/>
  <c r="C17" i="15"/>
  <c r="H17" i="15" s="1"/>
  <c r="J16" i="15"/>
  <c r="G16" i="15"/>
  <c r="E16" i="15"/>
  <c r="C16" i="15"/>
  <c r="H16" i="15" s="1"/>
  <c r="J15" i="15"/>
  <c r="G15" i="15"/>
  <c r="E15" i="15"/>
  <c r="C15" i="15"/>
  <c r="H15" i="15" s="1"/>
  <c r="J14" i="15"/>
  <c r="G14" i="15"/>
  <c r="E14" i="15"/>
  <c r="C14" i="15"/>
  <c r="H14" i="15" s="1"/>
  <c r="J13" i="15"/>
  <c r="K13" i="15" s="1"/>
  <c r="G13" i="15"/>
  <c r="E13" i="15"/>
  <c r="C13" i="15"/>
  <c r="H13" i="15" s="1"/>
  <c r="J12" i="15"/>
  <c r="G12" i="15"/>
  <c r="E12" i="15"/>
  <c r="C12" i="15"/>
  <c r="H12" i="15" s="1"/>
  <c r="J11" i="15"/>
  <c r="G11" i="15"/>
  <c r="E11" i="15"/>
  <c r="C11" i="15"/>
  <c r="H11" i="15" s="1"/>
  <c r="J10" i="15"/>
  <c r="G10" i="15"/>
  <c r="E10" i="15"/>
  <c r="C10" i="15"/>
  <c r="H10" i="15" s="1"/>
  <c r="J9" i="15"/>
  <c r="G9" i="15"/>
  <c r="E9" i="15"/>
  <c r="C9" i="15"/>
  <c r="H9" i="15" s="1"/>
  <c r="J8" i="15"/>
  <c r="G8" i="15"/>
  <c r="E8" i="15"/>
  <c r="C8" i="15"/>
  <c r="H8" i="15" s="1"/>
  <c r="J7" i="15"/>
  <c r="G7" i="15"/>
  <c r="E7" i="15"/>
  <c r="C7" i="15"/>
  <c r="H7" i="15" s="1"/>
  <c r="J6" i="15"/>
  <c r="G6" i="15"/>
  <c r="E6" i="15"/>
  <c r="C6" i="15"/>
  <c r="H6" i="15" s="1"/>
  <c r="J5" i="15"/>
  <c r="G5" i="15"/>
  <c r="E5" i="15"/>
  <c r="C5" i="15"/>
  <c r="H5" i="15" s="1"/>
  <c r="J4" i="15"/>
  <c r="G4" i="15"/>
  <c r="E4" i="15"/>
  <c r="C4" i="15"/>
  <c r="H4" i="15" s="1"/>
  <c r="J3" i="15"/>
  <c r="P5" i="15" s="1"/>
  <c r="G3" i="15"/>
  <c r="E3" i="15"/>
  <c r="C3" i="15"/>
  <c r="H3" i="15" s="1"/>
  <c r="J80" i="16"/>
  <c r="G80" i="16"/>
  <c r="E80" i="16"/>
  <c r="C80" i="16"/>
  <c r="H80" i="16" s="1"/>
  <c r="K80" i="16" s="1"/>
  <c r="J79" i="16"/>
  <c r="G79" i="16"/>
  <c r="E79" i="16"/>
  <c r="C79" i="16"/>
  <c r="H79" i="16" s="1"/>
  <c r="K79" i="16" s="1"/>
  <c r="J78" i="16"/>
  <c r="G78" i="16"/>
  <c r="E78" i="16"/>
  <c r="C78" i="16"/>
  <c r="H78" i="16" s="1"/>
  <c r="K78" i="16" s="1"/>
  <c r="J77" i="16"/>
  <c r="G77" i="16"/>
  <c r="E77" i="16"/>
  <c r="C77" i="16"/>
  <c r="H77" i="16" s="1"/>
  <c r="K77" i="16" s="1"/>
  <c r="J76" i="16"/>
  <c r="G76" i="16"/>
  <c r="E76" i="16"/>
  <c r="C76" i="16"/>
  <c r="H76" i="16" s="1"/>
  <c r="K76" i="16" s="1"/>
  <c r="J75" i="16"/>
  <c r="G75" i="16"/>
  <c r="E75" i="16"/>
  <c r="C75" i="16"/>
  <c r="H75" i="16" s="1"/>
  <c r="K75" i="16" s="1"/>
  <c r="J74" i="16"/>
  <c r="G74" i="16"/>
  <c r="E74" i="16"/>
  <c r="C74" i="16"/>
  <c r="H74" i="16" s="1"/>
  <c r="K74" i="16" s="1"/>
  <c r="J73" i="16"/>
  <c r="G73" i="16"/>
  <c r="E73" i="16"/>
  <c r="C73" i="16"/>
  <c r="H73" i="16" s="1"/>
  <c r="K73" i="16" s="1"/>
  <c r="J72" i="16"/>
  <c r="G72" i="16"/>
  <c r="E72" i="16"/>
  <c r="C72" i="16"/>
  <c r="H72" i="16" s="1"/>
  <c r="K72" i="16" s="1"/>
  <c r="J71" i="16"/>
  <c r="G71" i="16"/>
  <c r="E71" i="16"/>
  <c r="C71" i="16"/>
  <c r="H71" i="16" s="1"/>
  <c r="K71" i="16" s="1"/>
  <c r="J70" i="16"/>
  <c r="G70" i="16"/>
  <c r="E70" i="16"/>
  <c r="C70" i="16"/>
  <c r="H70" i="16" s="1"/>
  <c r="K70" i="16" s="1"/>
  <c r="J69" i="16"/>
  <c r="G69" i="16"/>
  <c r="E69" i="16"/>
  <c r="C69" i="16"/>
  <c r="H69" i="16" s="1"/>
  <c r="K69" i="16" s="1"/>
  <c r="J68" i="16"/>
  <c r="G68" i="16"/>
  <c r="E68" i="16"/>
  <c r="C68" i="16"/>
  <c r="H68" i="16" s="1"/>
  <c r="K68" i="16" s="1"/>
  <c r="J67" i="16"/>
  <c r="G67" i="16"/>
  <c r="E67" i="16"/>
  <c r="C67" i="16"/>
  <c r="H67" i="16" s="1"/>
  <c r="K67" i="16" s="1"/>
  <c r="J66" i="16"/>
  <c r="G66" i="16"/>
  <c r="E66" i="16"/>
  <c r="C66" i="16"/>
  <c r="H66" i="16" s="1"/>
  <c r="K66" i="16" s="1"/>
  <c r="J65" i="16"/>
  <c r="G65" i="16"/>
  <c r="E65" i="16"/>
  <c r="C65" i="16"/>
  <c r="H65" i="16" s="1"/>
  <c r="K65" i="16" s="1"/>
  <c r="J64" i="16"/>
  <c r="G64" i="16"/>
  <c r="E64" i="16"/>
  <c r="C64" i="16"/>
  <c r="H64" i="16" s="1"/>
  <c r="K64" i="16" s="1"/>
  <c r="J63" i="16"/>
  <c r="G63" i="16"/>
  <c r="E63" i="16"/>
  <c r="C63" i="16"/>
  <c r="H63" i="16" s="1"/>
  <c r="K63" i="16" s="1"/>
  <c r="J62" i="16"/>
  <c r="G62" i="16"/>
  <c r="E62" i="16"/>
  <c r="C62" i="16"/>
  <c r="H62" i="16" s="1"/>
  <c r="K62" i="16" s="1"/>
  <c r="J61" i="16"/>
  <c r="G61" i="16"/>
  <c r="E61" i="16"/>
  <c r="C61" i="16"/>
  <c r="H61" i="16" s="1"/>
  <c r="K61" i="16" s="1"/>
  <c r="J60" i="16"/>
  <c r="G60" i="16"/>
  <c r="E60" i="16"/>
  <c r="C60" i="16"/>
  <c r="H60" i="16" s="1"/>
  <c r="K60" i="16" s="1"/>
  <c r="J59" i="16"/>
  <c r="G59" i="16"/>
  <c r="E59" i="16"/>
  <c r="C59" i="16"/>
  <c r="H59" i="16" s="1"/>
  <c r="K59" i="16" s="1"/>
  <c r="J58" i="16"/>
  <c r="G58" i="16"/>
  <c r="E58" i="16"/>
  <c r="C58" i="16"/>
  <c r="H58" i="16" s="1"/>
  <c r="K58" i="16" s="1"/>
  <c r="J57" i="16"/>
  <c r="G57" i="16"/>
  <c r="E57" i="16"/>
  <c r="C57" i="16"/>
  <c r="H57" i="16" s="1"/>
  <c r="K57" i="16" s="1"/>
  <c r="J56" i="16"/>
  <c r="G56" i="16"/>
  <c r="E56" i="16"/>
  <c r="C56" i="16"/>
  <c r="H56" i="16" s="1"/>
  <c r="K56" i="16" s="1"/>
  <c r="J55" i="16"/>
  <c r="G55" i="16"/>
  <c r="E55" i="16"/>
  <c r="C55" i="16"/>
  <c r="H55" i="16" s="1"/>
  <c r="K55" i="16" s="1"/>
  <c r="J54" i="16"/>
  <c r="G54" i="16"/>
  <c r="E54" i="16"/>
  <c r="C54" i="16"/>
  <c r="H54" i="16" s="1"/>
  <c r="K54" i="16" s="1"/>
  <c r="J53" i="16"/>
  <c r="G53" i="16"/>
  <c r="E53" i="16"/>
  <c r="C53" i="16"/>
  <c r="H53" i="16" s="1"/>
  <c r="K53" i="16" s="1"/>
  <c r="J52" i="16"/>
  <c r="G52" i="16"/>
  <c r="E52" i="16"/>
  <c r="C52" i="16"/>
  <c r="H52" i="16" s="1"/>
  <c r="K52" i="16" s="1"/>
  <c r="J51" i="16"/>
  <c r="G51" i="16"/>
  <c r="E51" i="16"/>
  <c r="C51" i="16"/>
  <c r="H51" i="16" s="1"/>
  <c r="K51" i="16" s="1"/>
  <c r="J50" i="16"/>
  <c r="G50" i="16"/>
  <c r="E50" i="16"/>
  <c r="C50" i="16"/>
  <c r="H50" i="16" s="1"/>
  <c r="K50" i="16" s="1"/>
  <c r="J49" i="16"/>
  <c r="G49" i="16"/>
  <c r="E49" i="16"/>
  <c r="C49" i="16"/>
  <c r="H49" i="16" s="1"/>
  <c r="K49" i="16" s="1"/>
  <c r="J48" i="16"/>
  <c r="G48" i="16"/>
  <c r="E48" i="16"/>
  <c r="C48" i="16"/>
  <c r="H48" i="16" s="1"/>
  <c r="K48" i="16" s="1"/>
  <c r="J47" i="16"/>
  <c r="G47" i="16"/>
  <c r="E47" i="16"/>
  <c r="C47" i="16"/>
  <c r="H47" i="16" s="1"/>
  <c r="K47" i="16" s="1"/>
  <c r="J46" i="16"/>
  <c r="G46" i="16"/>
  <c r="E46" i="16"/>
  <c r="C46" i="16"/>
  <c r="H46" i="16" s="1"/>
  <c r="K46" i="16" s="1"/>
  <c r="J45" i="16"/>
  <c r="G45" i="16"/>
  <c r="E45" i="16"/>
  <c r="C45" i="16"/>
  <c r="H45" i="16" s="1"/>
  <c r="K45" i="16" s="1"/>
  <c r="J44" i="16"/>
  <c r="G44" i="16"/>
  <c r="E44" i="16"/>
  <c r="C44" i="16"/>
  <c r="H44" i="16" s="1"/>
  <c r="K44" i="16" s="1"/>
  <c r="J43" i="16"/>
  <c r="G43" i="16"/>
  <c r="E43" i="16"/>
  <c r="C43" i="16"/>
  <c r="H43" i="16" s="1"/>
  <c r="K43" i="16" s="1"/>
  <c r="J42" i="16"/>
  <c r="G42" i="16"/>
  <c r="E42" i="16"/>
  <c r="C42" i="16"/>
  <c r="H42" i="16" s="1"/>
  <c r="K42" i="16" s="1"/>
  <c r="J41" i="16"/>
  <c r="G41" i="16"/>
  <c r="E41" i="16"/>
  <c r="C41" i="16"/>
  <c r="H41" i="16" s="1"/>
  <c r="K41" i="16" s="1"/>
  <c r="J40" i="16"/>
  <c r="G40" i="16"/>
  <c r="E40" i="16"/>
  <c r="C40" i="16"/>
  <c r="H40" i="16" s="1"/>
  <c r="K40" i="16" s="1"/>
  <c r="J39" i="16"/>
  <c r="G39" i="16"/>
  <c r="E39" i="16"/>
  <c r="C39" i="16"/>
  <c r="H39" i="16" s="1"/>
  <c r="K39" i="16" s="1"/>
  <c r="J38" i="16"/>
  <c r="G38" i="16"/>
  <c r="E38" i="16"/>
  <c r="C38" i="16"/>
  <c r="H38" i="16" s="1"/>
  <c r="K38" i="16" s="1"/>
  <c r="J37" i="16"/>
  <c r="G37" i="16"/>
  <c r="E37" i="16"/>
  <c r="C37" i="16"/>
  <c r="H37" i="16" s="1"/>
  <c r="K37" i="16" s="1"/>
  <c r="J36" i="16"/>
  <c r="G36" i="16"/>
  <c r="E36" i="16"/>
  <c r="C36" i="16"/>
  <c r="H36" i="16" s="1"/>
  <c r="K36" i="16" s="1"/>
  <c r="J35" i="16"/>
  <c r="G35" i="16"/>
  <c r="E35" i="16"/>
  <c r="C35" i="16"/>
  <c r="H35" i="16" s="1"/>
  <c r="K35" i="16" s="1"/>
  <c r="J34" i="16"/>
  <c r="G34" i="16"/>
  <c r="E34" i="16"/>
  <c r="C34" i="16"/>
  <c r="H34" i="16" s="1"/>
  <c r="K34" i="16" s="1"/>
  <c r="J33" i="16"/>
  <c r="G33" i="16"/>
  <c r="E33" i="16"/>
  <c r="C33" i="16"/>
  <c r="H33" i="16" s="1"/>
  <c r="K33" i="16" s="1"/>
  <c r="J32" i="16"/>
  <c r="G32" i="16"/>
  <c r="E32" i="16"/>
  <c r="C32" i="16"/>
  <c r="H32" i="16" s="1"/>
  <c r="K32" i="16" s="1"/>
  <c r="J31" i="16"/>
  <c r="G31" i="16"/>
  <c r="E31" i="16"/>
  <c r="C31" i="16"/>
  <c r="H31" i="16" s="1"/>
  <c r="K31" i="16" s="1"/>
  <c r="J29" i="16"/>
  <c r="G29" i="16"/>
  <c r="E29" i="16"/>
  <c r="C29" i="16"/>
  <c r="H29" i="16" s="1"/>
  <c r="K29" i="16" s="1"/>
  <c r="J28" i="16"/>
  <c r="G28" i="16"/>
  <c r="E28" i="16"/>
  <c r="C28" i="16"/>
  <c r="H28" i="16" s="1"/>
  <c r="K28" i="16" s="1"/>
  <c r="J27" i="16"/>
  <c r="G27" i="16"/>
  <c r="E27" i="16"/>
  <c r="C27" i="16"/>
  <c r="H27" i="16" s="1"/>
  <c r="K27" i="16" s="1"/>
  <c r="J26" i="16"/>
  <c r="G26" i="16"/>
  <c r="E26" i="16"/>
  <c r="C26" i="16"/>
  <c r="H26" i="16" s="1"/>
  <c r="K26" i="16" s="1"/>
  <c r="J25" i="16"/>
  <c r="G25" i="16"/>
  <c r="E25" i="16"/>
  <c r="C25" i="16"/>
  <c r="H25" i="16" s="1"/>
  <c r="K25" i="16" s="1"/>
  <c r="J24" i="16"/>
  <c r="G24" i="16"/>
  <c r="E24" i="16"/>
  <c r="C24" i="16"/>
  <c r="H24" i="16" s="1"/>
  <c r="K24" i="16" s="1"/>
  <c r="J23" i="16"/>
  <c r="G23" i="16"/>
  <c r="E23" i="16"/>
  <c r="C23" i="16"/>
  <c r="H23" i="16" s="1"/>
  <c r="K23" i="16" s="1"/>
  <c r="J22" i="16"/>
  <c r="G22" i="16"/>
  <c r="E22" i="16"/>
  <c r="C22" i="16"/>
  <c r="H22" i="16" s="1"/>
  <c r="K22" i="16" s="1"/>
  <c r="J21" i="16"/>
  <c r="G21" i="16"/>
  <c r="E21" i="16"/>
  <c r="C21" i="16"/>
  <c r="H21" i="16" s="1"/>
  <c r="K21" i="16" s="1"/>
  <c r="J20" i="16"/>
  <c r="G20" i="16"/>
  <c r="E20" i="16"/>
  <c r="C20" i="16"/>
  <c r="H20" i="16" s="1"/>
  <c r="K20" i="16" s="1"/>
  <c r="J19" i="16"/>
  <c r="G19" i="16"/>
  <c r="E19" i="16"/>
  <c r="C19" i="16"/>
  <c r="H19" i="16" s="1"/>
  <c r="K19" i="16" s="1"/>
  <c r="J18" i="16"/>
  <c r="G18" i="16"/>
  <c r="E18" i="16"/>
  <c r="C18" i="16"/>
  <c r="H18" i="16" s="1"/>
  <c r="K18" i="16" s="1"/>
  <c r="J17" i="16"/>
  <c r="G17" i="16"/>
  <c r="E17" i="16"/>
  <c r="C17" i="16"/>
  <c r="H17" i="16" s="1"/>
  <c r="K17" i="16" s="1"/>
  <c r="J16" i="16"/>
  <c r="G16" i="16"/>
  <c r="E16" i="16"/>
  <c r="C16" i="16"/>
  <c r="H16" i="16" s="1"/>
  <c r="K16" i="16" s="1"/>
  <c r="J15" i="16"/>
  <c r="G15" i="16"/>
  <c r="E15" i="16"/>
  <c r="C15" i="16"/>
  <c r="H15" i="16" s="1"/>
  <c r="K15" i="16" s="1"/>
  <c r="J14" i="16"/>
  <c r="G14" i="16"/>
  <c r="E14" i="16"/>
  <c r="C14" i="16"/>
  <c r="H14" i="16" s="1"/>
  <c r="K14" i="16" s="1"/>
  <c r="J13" i="16"/>
  <c r="G13" i="16"/>
  <c r="E13" i="16"/>
  <c r="C13" i="16"/>
  <c r="H13" i="16" s="1"/>
  <c r="K13" i="16" s="1"/>
  <c r="J12" i="16"/>
  <c r="G12" i="16"/>
  <c r="E12" i="16"/>
  <c r="C12" i="16"/>
  <c r="H12" i="16" s="1"/>
  <c r="K12" i="16" s="1"/>
  <c r="J11" i="16"/>
  <c r="G11" i="16"/>
  <c r="E11" i="16"/>
  <c r="C11" i="16"/>
  <c r="H11" i="16" s="1"/>
  <c r="K11" i="16" s="1"/>
  <c r="J10" i="16"/>
  <c r="G10" i="16"/>
  <c r="E10" i="16"/>
  <c r="C10" i="16"/>
  <c r="H10" i="16" s="1"/>
  <c r="K10" i="16" s="1"/>
  <c r="J9" i="16"/>
  <c r="G9" i="16"/>
  <c r="E9" i="16"/>
  <c r="C9" i="16"/>
  <c r="H9" i="16" s="1"/>
  <c r="K9" i="16" s="1"/>
  <c r="J8" i="16"/>
  <c r="G8" i="16"/>
  <c r="E8" i="16"/>
  <c r="C8" i="16"/>
  <c r="H8" i="16" s="1"/>
  <c r="K8" i="16" s="1"/>
  <c r="J7" i="16"/>
  <c r="G7" i="16"/>
  <c r="E7" i="16"/>
  <c r="C7" i="16"/>
  <c r="H7" i="16" s="1"/>
  <c r="K7" i="16" s="1"/>
  <c r="J6" i="16"/>
  <c r="G6" i="16"/>
  <c r="E6" i="16"/>
  <c r="C6" i="16"/>
  <c r="H6" i="16" s="1"/>
  <c r="K6" i="16" s="1"/>
  <c r="J5" i="16"/>
  <c r="G5" i="16"/>
  <c r="E5" i="16"/>
  <c r="C5" i="16"/>
  <c r="H5" i="16" s="1"/>
  <c r="K5" i="16" s="1"/>
  <c r="J4" i="16"/>
  <c r="G4" i="16"/>
  <c r="E4" i="16"/>
  <c r="C4" i="16"/>
  <c r="H4" i="16" s="1"/>
  <c r="K4" i="16" s="1"/>
  <c r="J3" i="16"/>
  <c r="P5" i="16" s="1"/>
  <c r="G3" i="16"/>
  <c r="E3" i="16"/>
  <c r="C3" i="16"/>
  <c r="H3" i="16" s="1"/>
  <c r="K3" i="16" s="1"/>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C30" i="8"/>
  <c r="H30" i="8" s="1"/>
  <c r="K30" i="8" s="1"/>
  <c r="C31" i="8"/>
  <c r="H31" i="8" s="1"/>
  <c r="K31" i="8" s="1"/>
  <c r="C32" i="8"/>
  <c r="H32" i="8" s="1"/>
  <c r="K32" i="8" s="1"/>
  <c r="C33" i="8"/>
  <c r="H33" i="8" s="1"/>
  <c r="K33" i="8" s="1"/>
  <c r="C34" i="8"/>
  <c r="H34" i="8" s="1"/>
  <c r="K34" i="8" s="1"/>
  <c r="C35" i="8"/>
  <c r="H35" i="8" s="1"/>
  <c r="K35" i="8" s="1"/>
  <c r="C36" i="8"/>
  <c r="H36" i="8" s="1"/>
  <c r="K36" i="8" s="1"/>
  <c r="C37" i="8"/>
  <c r="H37" i="8" s="1"/>
  <c r="K37" i="8" s="1"/>
  <c r="C38" i="8"/>
  <c r="H38" i="8" s="1"/>
  <c r="K38" i="8" s="1"/>
  <c r="C39" i="8"/>
  <c r="H39" i="8" s="1"/>
  <c r="K39" i="8" s="1"/>
  <c r="C40" i="8"/>
  <c r="H40" i="8" s="1"/>
  <c r="K40" i="8" s="1"/>
  <c r="C41" i="8"/>
  <c r="H41" i="8" s="1"/>
  <c r="K41" i="8" s="1"/>
  <c r="C42" i="8"/>
  <c r="H42" i="8" s="1"/>
  <c r="K42" i="8" s="1"/>
  <c r="C43" i="8"/>
  <c r="H43" i="8" s="1"/>
  <c r="K43" i="8" s="1"/>
  <c r="C44" i="8"/>
  <c r="H44" i="8" s="1"/>
  <c r="K44" i="8" s="1"/>
  <c r="C45" i="8"/>
  <c r="H45" i="8" s="1"/>
  <c r="K45" i="8" s="1"/>
  <c r="C46" i="8"/>
  <c r="H46" i="8" s="1"/>
  <c r="K46" i="8" s="1"/>
  <c r="C47" i="8"/>
  <c r="H47" i="8" s="1"/>
  <c r="K47" i="8" s="1"/>
  <c r="C48" i="8"/>
  <c r="H48" i="8" s="1"/>
  <c r="K48" i="8" s="1"/>
  <c r="C49" i="8"/>
  <c r="H49" i="8" s="1"/>
  <c r="K49" i="8" s="1"/>
  <c r="C50" i="8"/>
  <c r="H50" i="8" s="1"/>
  <c r="K50" i="8" s="1"/>
  <c r="C51" i="8"/>
  <c r="H51" i="8" s="1"/>
  <c r="K51" i="8" s="1"/>
  <c r="C52" i="8"/>
  <c r="H52" i="8" s="1"/>
  <c r="K52" i="8" s="1"/>
  <c r="C53" i="8"/>
  <c r="H53" i="8" s="1"/>
  <c r="K53" i="8" s="1"/>
  <c r="C54" i="8"/>
  <c r="H54" i="8" s="1"/>
  <c r="K54" i="8" s="1"/>
  <c r="C55" i="8"/>
  <c r="H55" i="8" s="1"/>
  <c r="K55" i="8" s="1"/>
  <c r="C56" i="8"/>
  <c r="H56" i="8" s="1"/>
  <c r="K56" i="8" s="1"/>
  <c r="C57" i="8"/>
  <c r="H57" i="8" s="1"/>
  <c r="K57" i="8" s="1"/>
  <c r="C58" i="8"/>
  <c r="H58" i="8" s="1"/>
  <c r="K58" i="8" s="1"/>
  <c r="C59" i="8"/>
  <c r="H59" i="8" s="1"/>
  <c r="K59" i="8" s="1"/>
  <c r="C60" i="8"/>
  <c r="H60" i="8" s="1"/>
  <c r="K60" i="8" s="1"/>
  <c r="C61" i="8"/>
  <c r="H61" i="8" s="1"/>
  <c r="K61" i="8" s="1"/>
  <c r="C62" i="8"/>
  <c r="H62" i="8" s="1"/>
  <c r="K62" i="8" s="1"/>
  <c r="C63" i="8"/>
  <c r="H63" i="8" s="1"/>
  <c r="K63" i="8" s="1"/>
  <c r="C64" i="8"/>
  <c r="H64" i="8" s="1"/>
  <c r="K64" i="8" s="1"/>
  <c r="C65" i="8"/>
  <c r="H65" i="8" s="1"/>
  <c r="K65" i="8" s="1"/>
  <c r="C66" i="8"/>
  <c r="H66" i="8" s="1"/>
  <c r="K66" i="8" s="1"/>
  <c r="C67" i="8"/>
  <c r="H67" i="8" s="1"/>
  <c r="K67" i="8" s="1"/>
  <c r="C68" i="8"/>
  <c r="H68" i="8" s="1"/>
  <c r="K68" i="8" s="1"/>
  <c r="C69" i="8"/>
  <c r="H69" i="8" s="1"/>
  <c r="K69" i="8" s="1"/>
  <c r="C70" i="8"/>
  <c r="H70" i="8" s="1"/>
  <c r="K70" i="8" s="1"/>
  <c r="C71" i="8"/>
  <c r="H71" i="8" s="1"/>
  <c r="K71" i="8" s="1"/>
  <c r="C72" i="8"/>
  <c r="H72" i="8" s="1"/>
  <c r="K72" i="8" s="1"/>
  <c r="C73" i="8"/>
  <c r="H73" i="8" s="1"/>
  <c r="K73" i="8" s="1"/>
  <c r="C74" i="8"/>
  <c r="H74" i="8" s="1"/>
  <c r="K74" i="8" s="1"/>
  <c r="C75" i="8"/>
  <c r="H75" i="8" s="1"/>
  <c r="K75" i="8" s="1"/>
  <c r="C76" i="8"/>
  <c r="H76" i="8" s="1"/>
  <c r="K76" i="8" s="1"/>
  <c r="C77" i="8"/>
  <c r="H77" i="8" s="1"/>
  <c r="K77" i="8" s="1"/>
  <c r="C78" i="8"/>
  <c r="H78" i="8" s="1"/>
  <c r="K78" i="8" s="1"/>
  <c r="C79" i="8"/>
  <c r="H79" i="8" s="1"/>
  <c r="K79" i="8" s="1"/>
  <c r="C3" i="8"/>
  <c r="C4" i="8"/>
  <c r="C5" i="8"/>
  <c r="C6" i="8"/>
  <c r="C7" i="8"/>
  <c r="C8" i="8"/>
  <c r="C9" i="8"/>
  <c r="C10" i="8"/>
  <c r="C11" i="8"/>
  <c r="C12" i="8"/>
  <c r="C13" i="8"/>
  <c r="C14" i="8"/>
  <c r="C15" i="8"/>
  <c r="C16" i="8"/>
  <c r="C17" i="8"/>
  <c r="C18" i="8"/>
  <c r="C19" i="8"/>
  <c r="C20" i="8"/>
  <c r="C21" i="8"/>
  <c r="C22" i="8"/>
  <c r="C23" i="8"/>
  <c r="C24" i="8"/>
  <c r="C25" i="8"/>
  <c r="C26" i="8"/>
  <c r="C27" i="8"/>
  <c r="C28" i="8"/>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E34" i="6"/>
  <c r="E35" i="6"/>
  <c r="E36" i="6"/>
  <c r="E37" i="6"/>
  <c r="E38" i="6"/>
  <c r="E39" i="6"/>
  <c r="E40" i="6"/>
  <c r="E41" i="6"/>
  <c r="E42" i="6"/>
  <c r="E43" i="6"/>
  <c r="E44" i="6"/>
  <c r="E45" i="6"/>
  <c r="E46" i="6"/>
  <c r="E47" i="6"/>
  <c r="E48" i="6"/>
  <c r="E49" i="6"/>
  <c r="E50" i="6"/>
  <c r="E51" i="6"/>
  <c r="E52" i="6"/>
  <c r="E53" i="6"/>
  <c r="E54" i="6"/>
  <c r="E55" i="6"/>
  <c r="H55" i="6" s="1"/>
  <c r="K55" i="6" s="1"/>
  <c r="E56" i="6"/>
  <c r="H56" i="6" s="1"/>
  <c r="K56" i="6" s="1"/>
  <c r="E57" i="6"/>
  <c r="E58" i="6"/>
  <c r="E59" i="6"/>
  <c r="E60" i="6"/>
  <c r="E61" i="6"/>
  <c r="E62" i="6"/>
  <c r="E63" i="6"/>
  <c r="H63" i="6" s="1"/>
  <c r="K63" i="6" s="1"/>
  <c r="E64" i="6"/>
  <c r="H64" i="6" s="1"/>
  <c r="K64" i="6" s="1"/>
  <c r="E65" i="6"/>
  <c r="E66" i="6"/>
  <c r="E67" i="6"/>
  <c r="H67" i="6" s="1"/>
  <c r="K67" i="6" s="1"/>
  <c r="E68" i="6"/>
  <c r="H68" i="6" s="1"/>
  <c r="K68" i="6" s="1"/>
  <c r="E69" i="6"/>
  <c r="H69" i="6" s="1"/>
  <c r="K69" i="6" s="1"/>
  <c r="E70" i="6"/>
  <c r="H70" i="6" s="1"/>
  <c r="K70" i="6" s="1"/>
  <c r="E71" i="6"/>
  <c r="H71" i="6" s="1"/>
  <c r="K71" i="6" s="1"/>
  <c r="E72" i="6"/>
  <c r="H72" i="6" s="1"/>
  <c r="K72" i="6" s="1"/>
  <c r="E73" i="6"/>
  <c r="E74" i="6"/>
  <c r="E75" i="6"/>
  <c r="E76" i="6"/>
  <c r="E77" i="6"/>
  <c r="H77" i="6" s="1"/>
  <c r="K77" i="6" s="1"/>
  <c r="E78" i="6"/>
  <c r="H78" i="6" s="1"/>
  <c r="K78" i="6" s="1"/>
  <c r="E79" i="6"/>
  <c r="H79" i="6" s="1"/>
  <c r="K79" i="6" s="1"/>
  <c r="E80" i="6"/>
  <c r="H80" i="6" s="1"/>
  <c r="K80" i="6" s="1"/>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H57" i="6"/>
  <c r="K57" i="6" s="1"/>
  <c r="H58" i="6"/>
  <c r="K58" i="6" s="1"/>
  <c r="H59" i="6"/>
  <c r="K59" i="6" s="1"/>
  <c r="H60" i="6"/>
  <c r="K60" i="6" s="1"/>
  <c r="H61" i="6"/>
  <c r="K61" i="6" s="1"/>
  <c r="H62" i="6"/>
  <c r="K62" i="6" s="1"/>
  <c r="H65" i="6"/>
  <c r="K65" i="6" s="1"/>
  <c r="H66" i="6"/>
  <c r="K66" i="6" s="1"/>
  <c r="H73" i="6"/>
  <c r="K73" i="6" s="1"/>
  <c r="H74" i="6"/>
  <c r="K74" i="6" s="1"/>
  <c r="H75" i="6"/>
  <c r="K75" i="6" s="1"/>
  <c r="H76" i="6"/>
  <c r="K76" i="6" s="1"/>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O6" i="6"/>
  <c r="N6" i="6"/>
  <c r="P5" i="6"/>
  <c r="O5" i="6"/>
  <c r="N5" i="6"/>
  <c r="P4" i="6"/>
  <c r="O4" i="6"/>
  <c r="N4" i="6"/>
  <c r="C33" i="6"/>
  <c r="E33" i="6"/>
  <c r="G33" i="6"/>
  <c r="J33" i="6"/>
  <c r="C32" i="6"/>
  <c r="E32" i="6"/>
  <c r="G32" i="6"/>
  <c r="J32" i="6"/>
  <c r="C31" i="6"/>
  <c r="E31" i="6"/>
  <c r="G31" i="6"/>
  <c r="J31" i="6"/>
  <c r="E36" i="5"/>
  <c r="E37" i="5"/>
  <c r="E38" i="5"/>
  <c r="K38" i="5" s="1"/>
  <c r="E39" i="5"/>
  <c r="K39" i="5" s="1"/>
  <c r="E40" i="5"/>
  <c r="E41" i="5"/>
  <c r="H41" i="5" s="1"/>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H36" i="5"/>
  <c r="H37" i="5"/>
  <c r="H38" i="5"/>
  <c r="H39" i="5"/>
  <c r="H40"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K36" i="5"/>
  <c r="K37" i="5"/>
  <c r="K40"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I80" i="23" s="1"/>
  <c r="O6" i="5"/>
  <c r="N6" i="5"/>
  <c r="P5" i="5"/>
  <c r="O5" i="5"/>
  <c r="N5" i="5"/>
  <c r="P4" i="5"/>
  <c r="O4" i="5"/>
  <c r="N4" i="5"/>
  <c r="C35" i="5"/>
  <c r="E35" i="5"/>
  <c r="G35" i="5"/>
  <c r="H35" i="5"/>
  <c r="J35" i="5"/>
  <c r="K35" i="5"/>
  <c r="C34" i="5"/>
  <c r="E34" i="5"/>
  <c r="G34" i="5"/>
  <c r="H34" i="5"/>
  <c r="J34" i="5"/>
  <c r="K34" i="5"/>
  <c r="C33" i="5"/>
  <c r="E33" i="5"/>
  <c r="G33" i="5"/>
  <c r="H33" i="5"/>
  <c r="J33" i="5"/>
  <c r="K33" i="5"/>
  <c r="C32" i="5"/>
  <c r="E32" i="5"/>
  <c r="G32" i="5"/>
  <c r="J32" i="5"/>
  <c r="C31" i="5"/>
  <c r="E31" i="5"/>
  <c r="G31" i="5"/>
  <c r="J31" i="5"/>
  <c r="C33" i="4"/>
  <c r="H33" i="4" s="1"/>
  <c r="C34" i="4"/>
  <c r="H34" i="4" s="1"/>
  <c r="C35" i="4"/>
  <c r="H35" i="4" s="1"/>
  <c r="C36" i="4"/>
  <c r="H36" i="4" s="1"/>
  <c r="C37" i="4"/>
  <c r="H37" i="4" s="1"/>
  <c r="C38" i="4"/>
  <c r="H38" i="4" s="1"/>
  <c r="C39" i="4"/>
  <c r="H39" i="4" s="1"/>
  <c r="C40" i="4"/>
  <c r="H40" i="4" s="1"/>
  <c r="C41" i="4"/>
  <c r="H41" i="4" s="1"/>
  <c r="C42" i="4"/>
  <c r="H42" i="4" s="1"/>
  <c r="C43" i="4"/>
  <c r="H43" i="4" s="1"/>
  <c r="C44" i="4"/>
  <c r="H44" i="4" s="1"/>
  <c r="C45" i="4"/>
  <c r="H45" i="4" s="1"/>
  <c r="C46" i="4"/>
  <c r="H46" i="4" s="1"/>
  <c r="C47" i="4"/>
  <c r="H47" i="4" s="1"/>
  <c r="C48" i="4"/>
  <c r="H48" i="4" s="1"/>
  <c r="C49" i="4"/>
  <c r="H49" i="4" s="1"/>
  <c r="C50" i="4"/>
  <c r="H50" i="4" s="1"/>
  <c r="C51" i="4"/>
  <c r="H51" i="4" s="1"/>
  <c r="C52" i="4"/>
  <c r="H52" i="4" s="1"/>
  <c r="C53" i="4"/>
  <c r="H53" i="4" s="1"/>
  <c r="C54" i="4"/>
  <c r="H54" i="4" s="1"/>
  <c r="C56" i="4"/>
  <c r="C57" i="4"/>
  <c r="C58" i="4"/>
  <c r="C59" i="4"/>
  <c r="C60" i="4"/>
  <c r="C61" i="4"/>
  <c r="C62" i="4"/>
  <c r="C63" i="4"/>
  <c r="C64" i="4"/>
  <c r="C65" i="4"/>
  <c r="C66" i="4"/>
  <c r="C67" i="4"/>
  <c r="C68" i="4"/>
  <c r="C69" i="4"/>
  <c r="C70" i="4"/>
  <c r="C71" i="4"/>
  <c r="C72" i="4"/>
  <c r="C73" i="4"/>
  <c r="C74" i="4"/>
  <c r="C75" i="4"/>
  <c r="C76" i="4"/>
  <c r="C77" i="4"/>
  <c r="C78" i="4"/>
  <c r="C79" i="4"/>
  <c r="C80"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H55" i="4"/>
  <c r="H56" i="4"/>
  <c r="H57" i="4"/>
  <c r="H58" i="4"/>
  <c r="H59" i="4"/>
  <c r="H60" i="4"/>
  <c r="H61" i="4"/>
  <c r="H62" i="4"/>
  <c r="H63" i="4"/>
  <c r="H64" i="4"/>
  <c r="H65" i="4"/>
  <c r="H66" i="4"/>
  <c r="H67" i="4"/>
  <c r="H68" i="4"/>
  <c r="H69" i="4"/>
  <c r="H70" i="4"/>
  <c r="H71" i="4"/>
  <c r="H72" i="4"/>
  <c r="H73" i="4"/>
  <c r="H74" i="4"/>
  <c r="H75" i="4"/>
  <c r="H76" i="4"/>
  <c r="H77" i="4"/>
  <c r="H78" i="4"/>
  <c r="H79" i="4"/>
  <c r="H80"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K55" i="4"/>
  <c r="K56" i="4"/>
  <c r="K57" i="4"/>
  <c r="K58" i="4"/>
  <c r="K59" i="4"/>
  <c r="K60" i="4"/>
  <c r="K61" i="4"/>
  <c r="K62" i="4"/>
  <c r="K63" i="4"/>
  <c r="K64" i="4"/>
  <c r="K65" i="4"/>
  <c r="K66" i="4"/>
  <c r="K67" i="4"/>
  <c r="K68" i="4"/>
  <c r="K69" i="4"/>
  <c r="K70" i="4"/>
  <c r="K71" i="4"/>
  <c r="K72" i="4"/>
  <c r="K73" i="4"/>
  <c r="K74" i="4"/>
  <c r="K75" i="4"/>
  <c r="K76" i="4"/>
  <c r="K77" i="4"/>
  <c r="K78" i="4"/>
  <c r="K79" i="4"/>
  <c r="K80" i="4"/>
  <c r="O6" i="4"/>
  <c r="N6" i="4"/>
  <c r="P5" i="4"/>
  <c r="O5" i="4"/>
  <c r="N5" i="4"/>
  <c r="P4" i="4"/>
  <c r="O4" i="4"/>
  <c r="N4" i="4"/>
  <c r="C32" i="4"/>
  <c r="H32" i="4" s="1"/>
  <c r="G32" i="4"/>
  <c r="J32" i="4"/>
  <c r="C31" i="4"/>
  <c r="G31" i="4"/>
  <c r="J31" i="4"/>
  <c r="C34" i="3"/>
  <c r="C35" i="3"/>
  <c r="C36" i="3"/>
  <c r="C37" i="3"/>
  <c r="C38" i="3"/>
  <c r="C39" i="3"/>
  <c r="C40" i="3"/>
  <c r="C41" i="3"/>
  <c r="C42" i="3"/>
  <c r="C43" i="3"/>
  <c r="C44" i="3"/>
  <c r="C45" i="3"/>
  <c r="C46" i="3"/>
  <c r="C47" i="3"/>
  <c r="C48" i="3"/>
  <c r="C49" i="3"/>
  <c r="C50" i="3"/>
  <c r="C51" i="3"/>
  <c r="C52" i="3"/>
  <c r="C53" i="3"/>
  <c r="C54" i="3"/>
  <c r="C55"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O6" i="3"/>
  <c r="N6" i="3"/>
  <c r="P5" i="3"/>
  <c r="O5" i="3"/>
  <c r="N5" i="3"/>
  <c r="O4" i="3"/>
  <c r="N4" i="3"/>
  <c r="C33" i="3"/>
  <c r="E33" i="3"/>
  <c r="G33" i="3"/>
  <c r="H33" i="3"/>
  <c r="J33" i="3"/>
  <c r="K33" i="3"/>
  <c r="C32" i="3"/>
  <c r="E32" i="3"/>
  <c r="G32" i="3"/>
  <c r="H32" i="3"/>
  <c r="J32" i="3"/>
  <c r="K32" i="3"/>
  <c r="C31" i="3"/>
  <c r="E31" i="3"/>
  <c r="G31" i="3"/>
  <c r="H31" i="3"/>
  <c r="J31" i="3"/>
  <c r="K31" i="3"/>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E33" i="2"/>
  <c r="E34" i="2"/>
  <c r="E35" i="2"/>
  <c r="E36" i="2"/>
  <c r="E37" i="2"/>
  <c r="E38" i="2"/>
  <c r="E39" i="2"/>
  <c r="E40" i="2"/>
  <c r="E41" i="2"/>
  <c r="E42" i="2"/>
  <c r="E43" i="2"/>
  <c r="E44" i="2"/>
  <c r="E45" i="2"/>
  <c r="E46" i="2"/>
  <c r="E47" i="2"/>
  <c r="E48" i="2"/>
  <c r="E49" i="2"/>
  <c r="E50" i="2"/>
  <c r="E51" i="2"/>
  <c r="E52" i="2"/>
  <c r="E53" i="2"/>
  <c r="E55" i="2"/>
  <c r="E56" i="2"/>
  <c r="E57" i="2"/>
  <c r="E58" i="2"/>
  <c r="E59" i="2"/>
  <c r="E60" i="2"/>
  <c r="E61" i="2"/>
  <c r="E62" i="2"/>
  <c r="E63" i="2"/>
  <c r="E64" i="2"/>
  <c r="E65" i="2"/>
  <c r="E66" i="2"/>
  <c r="E67" i="2"/>
  <c r="E68" i="2"/>
  <c r="E69" i="2"/>
  <c r="E70" i="2"/>
  <c r="E71" i="2"/>
  <c r="E72" i="2"/>
  <c r="E73" i="2"/>
  <c r="E74" i="2"/>
  <c r="E75" i="2"/>
  <c r="E76" i="2"/>
  <c r="E77" i="2"/>
  <c r="E78" i="2"/>
  <c r="E79" i="2"/>
  <c r="E80"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O6" i="2"/>
  <c r="N6" i="2"/>
  <c r="P5" i="2"/>
  <c r="O5" i="2"/>
  <c r="N5" i="2"/>
  <c r="P4" i="2"/>
  <c r="O4" i="2"/>
  <c r="N4" i="2"/>
  <c r="C32" i="2"/>
  <c r="E32" i="2"/>
  <c r="G32" i="2"/>
  <c r="H32" i="2"/>
  <c r="J32" i="2"/>
  <c r="C31" i="2"/>
  <c r="E31" i="2"/>
  <c r="G31" i="2"/>
  <c r="H31" i="2"/>
  <c r="J31" i="2"/>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J34" i="1"/>
  <c r="J35" i="1"/>
  <c r="J36" i="1"/>
  <c r="J37" i="1"/>
  <c r="J38" i="1"/>
  <c r="J39" i="1"/>
  <c r="J40" i="1"/>
  <c r="J41" i="1"/>
  <c r="J42" i="1"/>
  <c r="J43" i="1"/>
  <c r="J44" i="1"/>
  <c r="J45" i="1"/>
  <c r="J46" i="1"/>
  <c r="J47" i="1"/>
  <c r="J48" i="1"/>
  <c r="J49" i="1"/>
  <c r="J50" i="1"/>
  <c r="J51" i="1"/>
  <c r="J52" i="1"/>
  <c r="J53" i="1"/>
  <c r="J54" i="1"/>
  <c r="J55" i="1"/>
  <c r="J56" i="1"/>
  <c r="J57" i="1"/>
  <c r="J58" i="1"/>
  <c r="J59" i="1"/>
  <c r="J62" i="1"/>
  <c r="J63" i="1"/>
  <c r="J64" i="1"/>
  <c r="J65" i="1"/>
  <c r="J66" i="1"/>
  <c r="J67" i="1"/>
  <c r="J68" i="1"/>
  <c r="J69" i="1"/>
  <c r="J70" i="1"/>
  <c r="J71" i="1"/>
  <c r="J72" i="1"/>
  <c r="J73" i="1"/>
  <c r="J74" i="1"/>
  <c r="J75" i="1"/>
  <c r="J76" i="1"/>
  <c r="J77" i="1"/>
  <c r="J78" i="1"/>
  <c r="J79" i="1"/>
  <c r="J80" i="1"/>
  <c r="J81" i="1"/>
  <c r="P5" i="1"/>
  <c r="P4" i="1"/>
  <c r="O6" i="1"/>
  <c r="O5" i="1"/>
  <c r="N6" i="1"/>
  <c r="N5" i="1"/>
  <c r="O4" i="1"/>
  <c r="N4" i="1"/>
  <c r="C33" i="1"/>
  <c r="E33" i="1"/>
  <c r="G33" i="1"/>
  <c r="H33" i="1"/>
  <c r="J33" i="1"/>
  <c r="C32" i="1"/>
  <c r="E32" i="1"/>
  <c r="G32" i="1"/>
  <c r="H32" i="1"/>
  <c r="J32" i="1"/>
  <c r="N5" i="9"/>
  <c r="O5" i="9"/>
  <c r="P5" i="9"/>
  <c r="P4" i="9"/>
  <c r="P3" i="9"/>
  <c r="O3" i="9"/>
  <c r="O4" i="9"/>
  <c r="N4" i="9"/>
  <c r="N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3" i="9"/>
  <c r="O30" i="23" l="1"/>
  <c r="R30" i="23" s="1"/>
  <c r="P30" i="23"/>
  <c r="R9" i="23"/>
  <c r="S9" i="23"/>
  <c r="R13" i="23"/>
  <c r="S13" i="23"/>
  <c r="S62" i="23"/>
  <c r="R62" i="23"/>
  <c r="R25" i="23"/>
  <c r="S25" i="23"/>
  <c r="R11" i="23"/>
  <c r="S11" i="23"/>
  <c r="R8" i="23"/>
  <c r="S8" i="23"/>
  <c r="R3" i="23"/>
  <c r="S3" i="23"/>
  <c r="R23" i="23"/>
  <c r="S23" i="23"/>
  <c r="R58" i="23"/>
  <c r="S58" i="23"/>
  <c r="R76" i="23"/>
  <c r="S76" i="23"/>
  <c r="S78" i="23"/>
  <c r="R78" i="23"/>
  <c r="R29" i="23"/>
  <c r="S29" i="23"/>
  <c r="R74" i="23"/>
  <c r="S74" i="23"/>
  <c r="S18" i="23"/>
  <c r="R18" i="23"/>
  <c r="S70" i="23"/>
  <c r="R70" i="23"/>
  <c r="R15" i="23"/>
  <c r="S15" i="23"/>
  <c r="R7" i="23"/>
  <c r="S7" i="23"/>
  <c r="R19" i="23"/>
  <c r="S19" i="23"/>
  <c r="R14" i="23"/>
  <c r="S14" i="23"/>
  <c r="R27" i="23"/>
  <c r="S27" i="23"/>
  <c r="R66" i="23"/>
  <c r="S66" i="23"/>
  <c r="R56" i="23"/>
  <c r="S56" i="23"/>
  <c r="R17" i="23"/>
  <c r="S17" i="23"/>
  <c r="R24" i="23"/>
  <c r="S24" i="23"/>
  <c r="R71" i="23"/>
  <c r="S71" i="23"/>
  <c r="R22" i="23"/>
  <c r="S22" i="23"/>
  <c r="H34" i="6"/>
  <c r="K34" i="6" s="1"/>
  <c r="L34" i="23" s="1"/>
  <c r="H51" i="6"/>
  <c r="K51" i="6" s="1"/>
  <c r="L51" i="23" s="1"/>
  <c r="H43" i="6"/>
  <c r="K43" i="6" s="1"/>
  <c r="L43" i="23" s="1"/>
  <c r="H35" i="6"/>
  <c r="K35" i="6" s="1"/>
  <c r="L35" i="23" s="1"/>
  <c r="K41" i="5"/>
  <c r="K31" i="5"/>
  <c r="I31" i="23" s="1"/>
  <c r="H53" i="6"/>
  <c r="K53" i="6" s="1"/>
  <c r="L53" i="23" s="1"/>
  <c r="H32" i="5"/>
  <c r="K36" i="4"/>
  <c r="H36" i="23" s="1"/>
  <c r="H31" i="5"/>
  <c r="H45" i="6"/>
  <c r="K45" i="6" s="1"/>
  <c r="L45" i="23" s="1"/>
  <c r="H37" i="6"/>
  <c r="K37" i="6" s="1"/>
  <c r="L37" i="23" s="1"/>
  <c r="K32" i="5"/>
  <c r="I32" i="23" s="1"/>
  <c r="K51" i="4"/>
  <c r="H51" i="23" s="1"/>
  <c r="K43" i="4"/>
  <c r="H43" i="23" s="1"/>
  <c r="K35" i="4"/>
  <c r="H35" i="23" s="1"/>
  <c r="H52" i="6"/>
  <c r="K52" i="6" s="1"/>
  <c r="L52" i="23" s="1"/>
  <c r="H44" i="6"/>
  <c r="K44" i="6" s="1"/>
  <c r="L44" i="23" s="1"/>
  <c r="H36" i="6"/>
  <c r="K36" i="6" s="1"/>
  <c r="L36" i="23" s="1"/>
  <c r="K52" i="4"/>
  <c r="H52" i="23" s="1"/>
  <c r="K31" i="4"/>
  <c r="H31" i="23" s="1"/>
  <c r="K32" i="4"/>
  <c r="H32" i="23" s="1"/>
  <c r="H54" i="6"/>
  <c r="K54" i="6" s="1"/>
  <c r="L54" i="23" s="1"/>
  <c r="H46" i="6"/>
  <c r="K46" i="6" s="1"/>
  <c r="L46" i="23" s="1"/>
  <c r="H38" i="6"/>
  <c r="K38" i="6" s="1"/>
  <c r="L38" i="23" s="1"/>
  <c r="H31" i="4"/>
  <c r="K44" i="4"/>
  <c r="H44" i="23" s="1"/>
  <c r="K50" i="4"/>
  <c r="H50" i="23" s="1"/>
  <c r="K42" i="4"/>
  <c r="H42" i="23" s="1"/>
  <c r="K34" i="4"/>
  <c r="H34" i="23" s="1"/>
  <c r="K49" i="4"/>
  <c r="H49" i="23" s="1"/>
  <c r="K41" i="4"/>
  <c r="H41" i="23" s="1"/>
  <c r="K33" i="4"/>
  <c r="H33" i="23" s="1"/>
  <c r="K48" i="4"/>
  <c r="H48" i="23" s="1"/>
  <c r="K40" i="4"/>
  <c r="H40" i="23" s="1"/>
  <c r="K47" i="4"/>
  <c r="H47" i="23" s="1"/>
  <c r="K39" i="4"/>
  <c r="H39" i="23" s="1"/>
  <c r="K54" i="4"/>
  <c r="H54" i="23" s="1"/>
  <c r="K46" i="4"/>
  <c r="H46" i="23" s="1"/>
  <c r="K38" i="4"/>
  <c r="H38" i="23" s="1"/>
  <c r="K53" i="4"/>
  <c r="H53" i="23" s="1"/>
  <c r="K45" i="4"/>
  <c r="H45" i="23" s="1"/>
  <c r="K37" i="4"/>
  <c r="H37" i="23" s="1"/>
  <c r="H47" i="6"/>
  <c r="K47" i="6" s="1"/>
  <c r="L47" i="23" s="1"/>
  <c r="H39" i="6"/>
  <c r="K39" i="6" s="1"/>
  <c r="L39" i="23" s="1"/>
  <c r="H31" i="6"/>
  <c r="K31" i="6" s="1"/>
  <c r="L31" i="23" s="1"/>
  <c r="H50" i="6"/>
  <c r="K50" i="6" s="1"/>
  <c r="L50" i="23" s="1"/>
  <c r="H42" i="6"/>
  <c r="K42" i="6" s="1"/>
  <c r="L42" i="23" s="1"/>
  <c r="H32" i="6"/>
  <c r="K32" i="6" s="1"/>
  <c r="L32" i="23" s="1"/>
  <c r="H33" i="6"/>
  <c r="K33" i="6" s="1"/>
  <c r="L33" i="23" s="1"/>
  <c r="H49" i="6"/>
  <c r="K49" i="6" s="1"/>
  <c r="L49" i="23" s="1"/>
  <c r="H41" i="6"/>
  <c r="K41" i="6" s="1"/>
  <c r="L41" i="23" s="1"/>
  <c r="H48" i="6"/>
  <c r="K48" i="6" s="1"/>
  <c r="L48" i="23" s="1"/>
  <c r="H40" i="6"/>
  <c r="K40" i="6" s="1"/>
  <c r="L40" i="23" s="1"/>
  <c r="K54" i="2"/>
  <c r="K53" i="2"/>
  <c r="K52" i="2"/>
  <c r="K51" i="2"/>
  <c r="K50" i="2"/>
  <c r="K49" i="2"/>
  <c r="K48" i="2"/>
  <c r="K47" i="2"/>
  <c r="K46" i="2"/>
  <c r="K45" i="2"/>
  <c r="K44" i="2"/>
  <c r="K43" i="2"/>
  <c r="K42" i="2"/>
  <c r="K41" i="2"/>
  <c r="K40" i="2"/>
  <c r="K39" i="2"/>
  <c r="K38" i="2"/>
  <c r="K37" i="2"/>
  <c r="K36" i="2"/>
  <c r="K35" i="2"/>
  <c r="K34" i="2"/>
  <c r="K33" i="2"/>
  <c r="K32" i="2"/>
  <c r="K31" i="2"/>
  <c r="K54" i="15"/>
  <c r="K53" i="15"/>
  <c r="K52" i="15"/>
  <c r="K51" i="15"/>
  <c r="K50" i="15"/>
  <c r="K49" i="15"/>
  <c r="K48" i="15"/>
  <c r="K47" i="15"/>
  <c r="K46" i="15"/>
  <c r="K45" i="15"/>
  <c r="K44" i="15"/>
  <c r="K43" i="15"/>
  <c r="K42" i="15"/>
  <c r="H30" i="2"/>
  <c r="K30" i="2" s="1"/>
  <c r="N2" i="8"/>
  <c r="O4" i="8"/>
  <c r="N4" i="8"/>
  <c r="P3" i="8"/>
  <c r="O3" i="8"/>
  <c r="N3" i="8"/>
  <c r="P2" i="8"/>
  <c r="O2" i="8"/>
  <c r="J28" i="8"/>
  <c r="G28" i="8"/>
  <c r="E28" i="8"/>
  <c r="H28" i="8"/>
  <c r="K28" i="8" s="1"/>
  <c r="J27" i="8"/>
  <c r="G27" i="8"/>
  <c r="E27" i="8"/>
  <c r="H27" i="8"/>
  <c r="K27" i="8" s="1"/>
  <c r="J26" i="8"/>
  <c r="G26" i="8"/>
  <c r="E26" i="8"/>
  <c r="H26" i="8"/>
  <c r="K26" i="8" s="1"/>
  <c r="J25" i="8"/>
  <c r="G25" i="8"/>
  <c r="E25" i="8"/>
  <c r="H25" i="8"/>
  <c r="K25" i="8" s="1"/>
  <c r="J24" i="8"/>
  <c r="G24" i="8"/>
  <c r="E24" i="8"/>
  <c r="H24" i="8"/>
  <c r="K24" i="8" s="1"/>
  <c r="J23" i="8"/>
  <c r="G23" i="8"/>
  <c r="E23" i="8"/>
  <c r="H23" i="8"/>
  <c r="K23" i="8" s="1"/>
  <c r="J22" i="8"/>
  <c r="G22" i="8"/>
  <c r="E22" i="8"/>
  <c r="H22" i="8"/>
  <c r="K22" i="8" s="1"/>
  <c r="J21" i="8"/>
  <c r="G21" i="8"/>
  <c r="E21" i="8"/>
  <c r="H21" i="8"/>
  <c r="K21" i="8" s="1"/>
  <c r="J20" i="8"/>
  <c r="G20" i="8"/>
  <c r="E20" i="8"/>
  <c r="H20" i="8"/>
  <c r="K20" i="8" s="1"/>
  <c r="J19" i="8"/>
  <c r="G19" i="8"/>
  <c r="E19" i="8"/>
  <c r="H19" i="8"/>
  <c r="K19" i="8" s="1"/>
  <c r="J18" i="8"/>
  <c r="G18" i="8"/>
  <c r="E18" i="8"/>
  <c r="H18" i="8"/>
  <c r="K18" i="8" s="1"/>
  <c r="J17" i="8"/>
  <c r="G17" i="8"/>
  <c r="E17" i="8"/>
  <c r="H17" i="8"/>
  <c r="K17" i="8" s="1"/>
  <c r="J16" i="8"/>
  <c r="G16" i="8"/>
  <c r="E16" i="8"/>
  <c r="H16" i="8"/>
  <c r="K16" i="8" s="1"/>
  <c r="J15" i="8"/>
  <c r="G15" i="8"/>
  <c r="E15" i="8"/>
  <c r="H15" i="8"/>
  <c r="K15" i="8" s="1"/>
  <c r="J14" i="8"/>
  <c r="G14" i="8"/>
  <c r="E14" i="8"/>
  <c r="H14" i="8"/>
  <c r="K14" i="8" s="1"/>
  <c r="J13" i="8"/>
  <c r="G13" i="8"/>
  <c r="E13" i="8"/>
  <c r="H13" i="8"/>
  <c r="K13" i="8" s="1"/>
  <c r="J12" i="8"/>
  <c r="G12" i="8"/>
  <c r="E12" i="8"/>
  <c r="H12" i="8"/>
  <c r="K12" i="8" s="1"/>
  <c r="J11" i="8"/>
  <c r="G11" i="8"/>
  <c r="E11" i="8"/>
  <c r="H11" i="8"/>
  <c r="K11" i="8" s="1"/>
  <c r="J10" i="8"/>
  <c r="G10" i="8"/>
  <c r="E10" i="8"/>
  <c r="H10" i="8"/>
  <c r="K10" i="8" s="1"/>
  <c r="J9" i="8"/>
  <c r="G9" i="8"/>
  <c r="E9" i="8"/>
  <c r="H9" i="8"/>
  <c r="K9" i="8" s="1"/>
  <c r="J8" i="8"/>
  <c r="G8" i="8"/>
  <c r="E8" i="8"/>
  <c r="H8" i="8"/>
  <c r="K8" i="8" s="1"/>
  <c r="J7" i="8"/>
  <c r="G7" i="8"/>
  <c r="E7" i="8"/>
  <c r="H7" i="8"/>
  <c r="K7" i="8" s="1"/>
  <c r="J6" i="8"/>
  <c r="G6" i="8"/>
  <c r="E6" i="8"/>
  <c r="H6" i="8"/>
  <c r="K6" i="8" s="1"/>
  <c r="J5" i="8"/>
  <c r="G5" i="8"/>
  <c r="E5" i="8"/>
  <c r="H5" i="8"/>
  <c r="K5" i="8" s="1"/>
  <c r="J4" i="8"/>
  <c r="G4" i="8"/>
  <c r="E4" i="8"/>
  <c r="H4" i="8"/>
  <c r="K4" i="8" s="1"/>
  <c r="J3" i="8"/>
  <c r="G3" i="8"/>
  <c r="E3" i="8"/>
  <c r="H3" i="8"/>
  <c r="K3" i="8" s="1"/>
  <c r="J2" i="8"/>
  <c r="P4" i="8" s="1"/>
  <c r="G2" i="8"/>
  <c r="E2" i="8"/>
  <c r="C2" i="8"/>
  <c r="S30" i="23" l="1"/>
  <c r="O48" i="23"/>
  <c r="P48" i="23"/>
  <c r="O33" i="23"/>
  <c r="P33" i="23"/>
  <c r="O41" i="23"/>
  <c r="P41" i="23"/>
  <c r="O46" i="23"/>
  <c r="P46" i="23"/>
  <c r="O49" i="23"/>
  <c r="P49" i="23"/>
  <c r="P43" i="23"/>
  <c r="O43" i="23"/>
  <c r="P54" i="23"/>
  <c r="O54" i="23"/>
  <c r="P34" i="23"/>
  <c r="O34" i="23"/>
  <c r="O32" i="23"/>
  <c r="P32" i="23"/>
  <c r="P51" i="23"/>
  <c r="O51" i="23"/>
  <c r="P39" i="23"/>
  <c r="O39" i="23"/>
  <c r="P42" i="23"/>
  <c r="O42" i="23"/>
  <c r="O31" i="23"/>
  <c r="P31" i="23"/>
  <c r="O45" i="23"/>
  <c r="P45" i="23"/>
  <c r="O53" i="23"/>
  <c r="P53" i="23"/>
  <c r="P36" i="23"/>
  <c r="O36" i="23"/>
  <c r="P38" i="23"/>
  <c r="O38" i="23"/>
  <c r="P35" i="23"/>
  <c r="O35" i="23"/>
  <c r="O47" i="23"/>
  <c r="P47" i="23"/>
  <c r="P50" i="23"/>
  <c r="O50" i="23"/>
  <c r="P52" i="23"/>
  <c r="O52" i="23"/>
  <c r="P37" i="23"/>
  <c r="O37" i="23"/>
  <c r="O40" i="23"/>
  <c r="P40" i="23"/>
  <c r="O44" i="23"/>
  <c r="P44" i="23"/>
  <c r="H80" i="23"/>
  <c r="L80" i="23"/>
  <c r="H2" i="8"/>
  <c r="R52" i="23" l="1"/>
  <c r="S52" i="23"/>
  <c r="S38" i="23"/>
  <c r="R38" i="23"/>
  <c r="S31" i="23"/>
  <c r="R31" i="23"/>
  <c r="R32" i="23"/>
  <c r="S32" i="23"/>
  <c r="R49" i="23"/>
  <c r="S49" i="23"/>
  <c r="R50" i="23"/>
  <c r="S50" i="23"/>
  <c r="S36" i="23"/>
  <c r="R36" i="23"/>
  <c r="S42" i="23"/>
  <c r="R42" i="23"/>
  <c r="R34" i="23"/>
  <c r="S34" i="23"/>
  <c r="R44" i="23"/>
  <c r="S44" i="23"/>
  <c r="S46" i="23"/>
  <c r="R46" i="23"/>
  <c r="S39" i="23"/>
  <c r="R39" i="23"/>
  <c r="S54" i="23"/>
  <c r="R54" i="23"/>
  <c r="R40" i="23"/>
  <c r="S40" i="23"/>
  <c r="R47" i="23"/>
  <c r="S47" i="23"/>
  <c r="R53" i="23"/>
  <c r="S53" i="23"/>
  <c r="S41" i="23"/>
  <c r="R41" i="23"/>
  <c r="R37" i="23"/>
  <c r="S37" i="23"/>
  <c r="R35" i="23"/>
  <c r="S35" i="23"/>
  <c r="R51" i="23"/>
  <c r="S51" i="23"/>
  <c r="R43" i="23"/>
  <c r="S43" i="23"/>
  <c r="R45" i="23"/>
  <c r="S45" i="23"/>
  <c r="R33" i="23"/>
  <c r="S33" i="23"/>
  <c r="R48" i="23"/>
  <c r="S48" i="23"/>
  <c r="O80" i="23"/>
  <c r="P80" i="23"/>
  <c r="K2" i="8"/>
  <c r="S80" i="23" l="1"/>
  <c r="R80" i="23"/>
  <c r="K80" i="8"/>
  <c r="G4" i="2"/>
  <c r="G5" i="2"/>
  <c r="G6" i="2"/>
  <c r="G7" i="2"/>
  <c r="G8" i="2"/>
  <c r="G9" i="2"/>
  <c r="G10" i="2"/>
  <c r="G11" i="2"/>
  <c r="G12" i="2"/>
  <c r="G13" i="2"/>
  <c r="G14" i="2"/>
  <c r="G15" i="2"/>
  <c r="G16" i="2"/>
  <c r="G17" i="2"/>
  <c r="G18" i="2"/>
  <c r="G19" i="2"/>
  <c r="G20" i="2"/>
  <c r="G21" i="2"/>
  <c r="G22" i="2"/>
  <c r="G23" i="2"/>
  <c r="G24" i="2"/>
  <c r="G25" i="2"/>
  <c r="G26" i="2"/>
  <c r="G27" i="2"/>
  <c r="G28" i="2"/>
  <c r="G29" i="2"/>
  <c r="G3" i="2"/>
  <c r="J4" i="1" l="1"/>
  <c r="J29" i="6" l="1"/>
  <c r="G29" i="6"/>
  <c r="E29" i="6"/>
  <c r="C29" i="6"/>
  <c r="J28" i="6"/>
  <c r="G28" i="6"/>
  <c r="E28" i="6"/>
  <c r="C28" i="6"/>
  <c r="J27" i="6"/>
  <c r="G27" i="6"/>
  <c r="E27" i="6"/>
  <c r="C27" i="6"/>
  <c r="J26" i="6"/>
  <c r="G26" i="6"/>
  <c r="E26" i="6"/>
  <c r="C26" i="6"/>
  <c r="J25" i="6"/>
  <c r="G25" i="6"/>
  <c r="E25" i="6"/>
  <c r="C25" i="6"/>
  <c r="J24" i="6"/>
  <c r="G24" i="6"/>
  <c r="E24" i="6"/>
  <c r="C24" i="6"/>
  <c r="J23" i="6"/>
  <c r="G23" i="6"/>
  <c r="E23" i="6"/>
  <c r="C23" i="6"/>
  <c r="J22" i="6"/>
  <c r="G22" i="6"/>
  <c r="E22" i="6"/>
  <c r="C22" i="6"/>
  <c r="J21" i="6"/>
  <c r="G21" i="6"/>
  <c r="E21" i="6"/>
  <c r="C21" i="6"/>
  <c r="J20" i="6"/>
  <c r="G20" i="6"/>
  <c r="E20" i="6"/>
  <c r="C20" i="6"/>
  <c r="J19" i="6"/>
  <c r="G19" i="6"/>
  <c r="E19" i="6"/>
  <c r="C19" i="6"/>
  <c r="J18" i="6"/>
  <c r="G18" i="6"/>
  <c r="E18" i="6"/>
  <c r="C18" i="6"/>
  <c r="J17" i="6"/>
  <c r="G17" i="6"/>
  <c r="E17" i="6"/>
  <c r="C17" i="6"/>
  <c r="J16" i="6"/>
  <c r="G16" i="6"/>
  <c r="E16" i="6"/>
  <c r="C16" i="6"/>
  <c r="J15" i="6"/>
  <c r="G15" i="6"/>
  <c r="E15" i="6"/>
  <c r="C15" i="6"/>
  <c r="J14" i="6"/>
  <c r="G14" i="6"/>
  <c r="E14" i="6"/>
  <c r="C14" i="6"/>
  <c r="J13" i="6"/>
  <c r="G13" i="6"/>
  <c r="E13" i="6"/>
  <c r="C13" i="6"/>
  <c r="J12" i="6"/>
  <c r="G12" i="6"/>
  <c r="E12" i="6"/>
  <c r="C12" i="6"/>
  <c r="J11" i="6"/>
  <c r="G11" i="6"/>
  <c r="E11" i="6"/>
  <c r="C11" i="6"/>
  <c r="J10" i="6"/>
  <c r="G10" i="6"/>
  <c r="E10" i="6"/>
  <c r="C10" i="6"/>
  <c r="J9" i="6"/>
  <c r="G9" i="6"/>
  <c r="E9" i="6"/>
  <c r="C9" i="6"/>
  <c r="J8" i="6"/>
  <c r="G8" i="6"/>
  <c r="E8" i="6"/>
  <c r="C8" i="6"/>
  <c r="J7" i="6"/>
  <c r="G7" i="6"/>
  <c r="E7" i="6"/>
  <c r="C7" i="6"/>
  <c r="J6" i="6"/>
  <c r="G6" i="6"/>
  <c r="E6" i="6"/>
  <c r="C6" i="6"/>
  <c r="J5" i="6"/>
  <c r="G5" i="6"/>
  <c r="E5" i="6"/>
  <c r="C5" i="6"/>
  <c r="J4" i="6"/>
  <c r="G4" i="6"/>
  <c r="E4" i="6"/>
  <c r="C4" i="6"/>
  <c r="J3" i="6"/>
  <c r="P6" i="6" s="1"/>
  <c r="G3" i="6"/>
  <c r="E3" i="6"/>
  <c r="C3" i="6"/>
  <c r="J29" i="5"/>
  <c r="G29" i="5"/>
  <c r="E29" i="5"/>
  <c r="C29" i="5"/>
  <c r="K29" i="5" s="1"/>
  <c r="J28" i="5"/>
  <c r="G28" i="5"/>
  <c r="E28" i="5"/>
  <c r="C28" i="5"/>
  <c r="K28" i="5" s="1"/>
  <c r="J27" i="5"/>
  <c r="G27" i="5"/>
  <c r="E27" i="5"/>
  <c r="C27" i="5"/>
  <c r="K27" i="5" s="1"/>
  <c r="J26" i="5"/>
  <c r="G26" i="5"/>
  <c r="E26" i="5"/>
  <c r="C26" i="5"/>
  <c r="K26" i="5" s="1"/>
  <c r="J25" i="5"/>
  <c r="G25" i="5"/>
  <c r="E25" i="5"/>
  <c r="C25" i="5"/>
  <c r="K25" i="5" s="1"/>
  <c r="J24" i="5"/>
  <c r="G24" i="5"/>
  <c r="E24" i="5"/>
  <c r="C24" i="5"/>
  <c r="K24" i="5" s="1"/>
  <c r="J23" i="5"/>
  <c r="G23" i="5"/>
  <c r="E23" i="5"/>
  <c r="C23" i="5"/>
  <c r="K23" i="5" s="1"/>
  <c r="J22" i="5"/>
  <c r="G22" i="5"/>
  <c r="E22" i="5"/>
  <c r="C22" i="5"/>
  <c r="K22" i="5" s="1"/>
  <c r="J21" i="5"/>
  <c r="G21" i="5"/>
  <c r="E21" i="5"/>
  <c r="C21" i="5"/>
  <c r="K21" i="5" s="1"/>
  <c r="J20" i="5"/>
  <c r="G20" i="5"/>
  <c r="E20" i="5"/>
  <c r="C20" i="5"/>
  <c r="K20" i="5" s="1"/>
  <c r="J19" i="5"/>
  <c r="G19" i="5"/>
  <c r="E19" i="5"/>
  <c r="C19" i="5"/>
  <c r="K19" i="5" s="1"/>
  <c r="J18" i="5"/>
  <c r="G18" i="5"/>
  <c r="E18" i="5"/>
  <c r="C18" i="5"/>
  <c r="K18" i="5" s="1"/>
  <c r="J17" i="5"/>
  <c r="G17" i="5"/>
  <c r="E17" i="5"/>
  <c r="C17" i="5"/>
  <c r="K17" i="5" s="1"/>
  <c r="J16" i="5"/>
  <c r="G16" i="5"/>
  <c r="E16" i="5"/>
  <c r="C16" i="5"/>
  <c r="K16" i="5" s="1"/>
  <c r="J15" i="5"/>
  <c r="G15" i="5"/>
  <c r="E15" i="5"/>
  <c r="C15" i="5"/>
  <c r="K15" i="5" s="1"/>
  <c r="J14" i="5"/>
  <c r="G14" i="5"/>
  <c r="E14" i="5"/>
  <c r="C14" i="5"/>
  <c r="K14" i="5" s="1"/>
  <c r="J13" i="5"/>
  <c r="G13" i="5"/>
  <c r="E13" i="5"/>
  <c r="C13" i="5"/>
  <c r="K13" i="5" s="1"/>
  <c r="J12" i="5"/>
  <c r="G12" i="5"/>
  <c r="E12" i="5"/>
  <c r="C12" i="5"/>
  <c r="K12" i="5" s="1"/>
  <c r="J11" i="5"/>
  <c r="G11" i="5"/>
  <c r="E11" i="5"/>
  <c r="C11" i="5"/>
  <c r="K11" i="5" s="1"/>
  <c r="J10" i="5"/>
  <c r="G10" i="5"/>
  <c r="E10" i="5"/>
  <c r="C10" i="5"/>
  <c r="K10" i="5" s="1"/>
  <c r="J9" i="5"/>
  <c r="G9" i="5"/>
  <c r="E9" i="5"/>
  <c r="C9" i="5"/>
  <c r="K9" i="5" s="1"/>
  <c r="J8" i="5"/>
  <c r="G8" i="5"/>
  <c r="E8" i="5"/>
  <c r="C8" i="5"/>
  <c r="K8" i="5" s="1"/>
  <c r="J7" i="5"/>
  <c r="G7" i="5"/>
  <c r="E7" i="5"/>
  <c r="C7" i="5"/>
  <c r="K7" i="5" s="1"/>
  <c r="J6" i="5"/>
  <c r="G6" i="5"/>
  <c r="E6" i="5"/>
  <c r="C6" i="5"/>
  <c r="K6" i="5" s="1"/>
  <c r="J5" i="5"/>
  <c r="G5" i="5"/>
  <c r="E5" i="5"/>
  <c r="C5" i="5"/>
  <c r="K5" i="5" s="1"/>
  <c r="J4" i="5"/>
  <c r="G4" i="5"/>
  <c r="E4" i="5"/>
  <c r="C4" i="5"/>
  <c r="K4" i="5" s="1"/>
  <c r="J3" i="5"/>
  <c r="P6" i="5" s="1"/>
  <c r="G3" i="5"/>
  <c r="E3" i="5"/>
  <c r="C3" i="5"/>
  <c r="K3" i="5" s="1"/>
  <c r="J29" i="4"/>
  <c r="G29" i="4"/>
  <c r="C29" i="4"/>
  <c r="J28" i="4"/>
  <c r="G28" i="4"/>
  <c r="C28" i="4"/>
  <c r="J27" i="4"/>
  <c r="G27" i="4"/>
  <c r="C27" i="4"/>
  <c r="J26" i="4"/>
  <c r="G26" i="4"/>
  <c r="C26" i="4"/>
  <c r="J25" i="4"/>
  <c r="G25" i="4"/>
  <c r="C25" i="4"/>
  <c r="J24" i="4"/>
  <c r="G24" i="4"/>
  <c r="C24" i="4"/>
  <c r="J23" i="4"/>
  <c r="G23" i="4"/>
  <c r="C23" i="4"/>
  <c r="J22" i="4"/>
  <c r="G22" i="4"/>
  <c r="C22" i="4"/>
  <c r="J21" i="4"/>
  <c r="G21" i="4"/>
  <c r="C21" i="4"/>
  <c r="J20" i="4"/>
  <c r="G20" i="4"/>
  <c r="C20" i="4"/>
  <c r="J19" i="4"/>
  <c r="G19" i="4"/>
  <c r="C19" i="4"/>
  <c r="J18" i="4"/>
  <c r="G18" i="4"/>
  <c r="C18" i="4"/>
  <c r="J17" i="4"/>
  <c r="G17" i="4"/>
  <c r="C17" i="4"/>
  <c r="J16" i="4"/>
  <c r="G16" i="4"/>
  <c r="C16" i="4"/>
  <c r="J15" i="4"/>
  <c r="G15" i="4"/>
  <c r="C15" i="4"/>
  <c r="J14" i="4"/>
  <c r="G14" i="4"/>
  <c r="C14" i="4"/>
  <c r="J13" i="4"/>
  <c r="G13" i="4"/>
  <c r="C13" i="4"/>
  <c r="J12" i="4"/>
  <c r="G12" i="4"/>
  <c r="C12" i="4"/>
  <c r="J11" i="4"/>
  <c r="G11" i="4"/>
  <c r="C11" i="4"/>
  <c r="J10" i="4"/>
  <c r="G10" i="4"/>
  <c r="C10" i="4"/>
  <c r="J9" i="4"/>
  <c r="G9" i="4"/>
  <c r="C9" i="4"/>
  <c r="J8" i="4"/>
  <c r="G8" i="4"/>
  <c r="C8" i="4"/>
  <c r="J7" i="4"/>
  <c r="G7" i="4"/>
  <c r="C7" i="4"/>
  <c r="J6" i="4"/>
  <c r="G6" i="4"/>
  <c r="C6" i="4"/>
  <c r="J5" i="4"/>
  <c r="G5" i="4"/>
  <c r="C5" i="4"/>
  <c r="J4" i="4"/>
  <c r="G4" i="4"/>
  <c r="C4" i="4"/>
  <c r="J3" i="4"/>
  <c r="P6" i="4" s="1"/>
  <c r="G3" i="4"/>
  <c r="C3" i="4"/>
  <c r="J29" i="3"/>
  <c r="G29" i="3"/>
  <c r="E29" i="3"/>
  <c r="C29" i="3"/>
  <c r="J28" i="3"/>
  <c r="G28" i="3"/>
  <c r="E28" i="3"/>
  <c r="C28" i="3"/>
  <c r="J27" i="3"/>
  <c r="G27" i="3"/>
  <c r="E27" i="3"/>
  <c r="C27" i="3"/>
  <c r="J26" i="3"/>
  <c r="G26" i="3"/>
  <c r="E26" i="3"/>
  <c r="C26" i="3"/>
  <c r="J25" i="3"/>
  <c r="G25" i="3"/>
  <c r="E25" i="3"/>
  <c r="C25" i="3"/>
  <c r="J24" i="3"/>
  <c r="G24" i="3"/>
  <c r="E24" i="3"/>
  <c r="C24" i="3"/>
  <c r="J23" i="3"/>
  <c r="G23" i="3"/>
  <c r="E23" i="3"/>
  <c r="C23" i="3"/>
  <c r="J22" i="3"/>
  <c r="G22" i="3"/>
  <c r="E22" i="3"/>
  <c r="C22" i="3"/>
  <c r="J21" i="3"/>
  <c r="G21" i="3"/>
  <c r="E21" i="3"/>
  <c r="C21" i="3"/>
  <c r="J20" i="3"/>
  <c r="G20" i="3"/>
  <c r="E20" i="3"/>
  <c r="C20" i="3"/>
  <c r="J19" i="3"/>
  <c r="G19" i="3"/>
  <c r="E19" i="3"/>
  <c r="C19" i="3"/>
  <c r="J18" i="3"/>
  <c r="G18" i="3"/>
  <c r="E18" i="3"/>
  <c r="C18" i="3"/>
  <c r="J17" i="3"/>
  <c r="G17" i="3"/>
  <c r="E17" i="3"/>
  <c r="C17" i="3"/>
  <c r="J16" i="3"/>
  <c r="G16" i="3"/>
  <c r="E16" i="3"/>
  <c r="C16" i="3"/>
  <c r="J15" i="3"/>
  <c r="G15" i="3"/>
  <c r="E15" i="3"/>
  <c r="C15" i="3"/>
  <c r="J14" i="3"/>
  <c r="G14" i="3"/>
  <c r="E14" i="3"/>
  <c r="C14" i="3"/>
  <c r="J13" i="3"/>
  <c r="G13" i="3"/>
  <c r="E13" i="3"/>
  <c r="C13" i="3"/>
  <c r="J12" i="3"/>
  <c r="G12" i="3"/>
  <c r="E12" i="3"/>
  <c r="C12" i="3"/>
  <c r="J11" i="3"/>
  <c r="G11" i="3"/>
  <c r="E11" i="3"/>
  <c r="C11" i="3"/>
  <c r="J10" i="3"/>
  <c r="G10" i="3"/>
  <c r="E10" i="3"/>
  <c r="C10" i="3"/>
  <c r="J9" i="3"/>
  <c r="G9" i="3"/>
  <c r="E9" i="3"/>
  <c r="C9" i="3"/>
  <c r="J8" i="3"/>
  <c r="G8" i="3"/>
  <c r="E8" i="3"/>
  <c r="C8" i="3"/>
  <c r="J7" i="3"/>
  <c r="G7" i="3"/>
  <c r="E7" i="3"/>
  <c r="C7" i="3"/>
  <c r="J6" i="3"/>
  <c r="G6" i="3"/>
  <c r="E6" i="3"/>
  <c r="C6" i="3"/>
  <c r="J5" i="3"/>
  <c r="G5" i="3"/>
  <c r="E5" i="3"/>
  <c r="C5" i="3"/>
  <c r="H5" i="3" s="1"/>
  <c r="J4" i="3"/>
  <c r="G4" i="3"/>
  <c r="E4" i="3"/>
  <c r="C4" i="3"/>
  <c r="J3" i="3"/>
  <c r="P6" i="3" s="1"/>
  <c r="G3" i="3"/>
  <c r="E3" i="3"/>
  <c r="C3" i="3"/>
  <c r="J29" i="2"/>
  <c r="E29" i="2"/>
  <c r="C29" i="2"/>
  <c r="H29" i="2" s="1"/>
  <c r="K29" i="2" s="1"/>
  <c r="J28" i="2"/>
  <c r="E28" i="2"/>
  <c r="C28" i="2"/>
  <c r="H28" i="2" s="1"/>
  <c r="K28" i="2" s="1"/>
  <c r="J27" i="2"/>
  <c r="E27" i="2"/>
  <c r="C27" i="2"/>
  <c r="H27" i="2" s="1"/>
  <c r="K27" i="2" s="1"/>
  <c r="J26" i="2"/>
  <c r="E26" i="2"/>
  <c r="C26" i="2"/>
  <c r="H26" i="2" s="1"/>
  <c r="K26" i="2" s="1"/>
  <c r="J25" i="2"/>
  <c r="E25" i="2"/>
  <c r="C25" i="2"/>
  <c r="H25" i="2" s="1"/>
  <c r="K25" i="2" s="1"/>
  <c r="J24" i="2"/>
  <c r="E24" i="2"/>
  <c r="C24" i="2"/>
  <c r="H24" i="2" s="1"/>
  <c r="K24" i="2" s="1"/>
  <c r="J23" i="2"/>
  <c r="E23" i="2"/>
  <c r="C23" i="2"/>
  <c r="H23" i="2" s="1"/>
  <c r="K23" i="2" s="1"/>
  <c r="J22" i="2"/>
  <c r="E22" i="2"/>
  <c r="C22" i="2"/>
  <c r="H22" i="2" s="1"/>
  <c r="J21" i="2"/>
  <c r="E21" i="2"/>
  <c r="C21" i="2"/>
  <c r="H21" i="2" s="1"/>
  <c r="J20" i="2"/>
  <c r="E20" i="2"/>
  <c r="C20" i="2"/>
  <c r="H20" i="2" s="1"/>
  <c r="J19" i="2"/>
  <c r="E19" i="2"/>
  <c r="C19" i="2"/>
  <c r="H19" i="2" s="1"/>
  <c r="J18" i="2"/>
  <c r="E18" i="2"/>
  <c r="C18" i="2"/>
  <c r="H18" i="2" s="1"/>
  <c r="J17" i="2"/>
  <c r="E17" i="2"/>
  <c r="C17" i="2"/>
  <c r="H17" i="2" s="1"/>
  <c r="J16" i="2"/>
  <c r="E16" i="2"/>
  <c r="C16" i="2"/>
  <c r="H16" i="2" s="1"/>
  <c r="J15" i="2"/>
  <c r="E15" i="2"/>
  <c r="C15" i="2"/>
  <c r="H15" i="2" s="1"/>
  <c r="J14" i="2"/>
  <c r="E14" i="2"/>
  <c r="C14" i="2"/>
  <c r="H14" i="2" s="1"/>
  <c r="J13" i="2"/>
  <c r="E13" i="2"/>
  <c r="C13" i="2"/>
  <c r="H13" i="2" s="1"/>
  <c r="J12" i="2"/>
  <c r="E12" i="2"/>
  <c r="C12" i="2"/>
  <c r="H12" i="2" s="1"/>
  <c r="J11" i="2"/>
  <c r="E11" i="2"/>
  <c r="C11" i="2"/>
  <c r="H11" i="2" s="1"/>
  <c r="J10" i="2"/>
  <c r="E10" i="2"/>
  <c r="C10" i="2"/>
  <c r="H10" i="2" s="1"/>
  <c r="J9" i="2"/>
  <c r="E9" i="2"/>
  <c r="C9" i="2"/>
  <c r="H9" i="2" s="1"/>
  <c r="J8" i="2"/>
  <c r="E8" i="2"/>
  <c r="C8" i="2"/>
  <c r="H8" i="2" s="1"/>
  <c r="J7" i="2"/>
  <c r="E7" i="2"/>
  <c r="C7" i="2"/>
  <c r="H7" i="2" s="1"/>
  <c r="J6" i="2"/>
  <c r="E6" i="2"/>
  <c r="C6" i="2"/>
  <c r="H6" i="2" s="1"/>
  <c r="J5" i="2"/>
  <c r="E5" i="2"/>
  <c r="C5" i="2"/>
  <c r="H5" i="2" s="1"/>
  <c r="J4" i="2"/>
  <c r="E4" i="2"/>
  <c r="C4" i="2"/>
  <c r="H4" i="2" s="1"/>
  <c r="J3" i="2"/>
  <c r="P6" i="2" s="1"/>
  <c r="E3" i="2"/>
  <c r="C3" i="2"/>
  <c r="K3" i="4" l="1"/>
  <c r="H3" i="4"/>
  <c r="K4" i="4"/>
  <c r="H4" i="4"/>
  <c r="K5" i="4"/>
  <c r="H5" i="4"/>
  <c r="K6" i="4"/>
  <c r="H6" i="4"/>
  <c r="K7" i="4"/>
  <c r="H7" i="4"/>
  <c r="K8" i="4"/>
  <c r="H8" i="4"/>
  <c r="K9" i="4"/>
  <c r="H9" i="4"/>
  <c r="K10" i="4"/>
  <c r="H10" i="4"/>
  <c r="K11" i="4"/>
  <c r="H11" i="4"/>
  <c r="K12" i="4"/>
  <c r="H12" i="4"/>
  <c r="K13" i="4"/>
  <c r="H13" i="4"/>
  <c r="K14" i="4"/>
  <c r="H14" i="4"/>
  <c r="K15" i="4"/>
  <c r="H15" i="4"/>
  <c r="K16" i="4"/>
  <c r="H16" i="4"/>
  <c r="K17" i="4"/>
  <c r="H17" i="4"/>
  <c r="K18" i="4"/>
  <c r="H18" i="4"/>
  <c r="K19" i="4"/>
  <c r="H19" i="4"/>
  <c r="K20" i="4"/>
  <c r="H20" i="4"/>
  <c r="K21" i="4"/>
  <c r="H21" i="4"/>
  <c r="K22" i="4"/>
  <c r="H22" i="4"/>
  <c r="K23" i="4"/>
  <c r="H23" i="4"/>
  <c r="K24" i="4"/>
  <c r="H24" i="4"/>
  <c r="K25" i="4"/>
  <c r="H25" i="4"/>
  <c r="K26" i="4"/>
  <c r="H26" i="4"/>
  <c r="K27" i="4"/>
  <c r="H27" i="4"/>
  <c r="K28" i="4"/>
  <c r="H28" i="4"/>
  <c r="K29" i="4"/>
  <c r="H29" i="4"/>
  <c r="H3" i="6"/>
  <c r="H4" i="6"/>
  <c r="H5" i="6"/>
  <c r="H6" i="6"/>
  <c r="H7" i="6"/>
  <c r="H8" i="6"/>
  <c r="H9" i="6"/>
  <c r="H10" i="6"/>
  <c r="H11" i="6"/>
  <c r="H12" i="6"/>
  <c r="H13" i="6"/>
  <c r="H14" i="6"/>
  <c r="H15" i="6"/>
  <c r="H16" i="6"/>
  <c r="H17" i="6"/>
  <c r="H18" i="6"/>
  <c r="H19" i="6"/>
  <c r="H20" i="6"/>
  <c r="H21" i="6"/>
  <c r="H22" i="6"/>
  <c r="H23" i="6"/>
  <c r="H24" i="6"/>
  <c r="H25" i="6"/>
  <c r="K25" i="6" s="1"/>
  <c r="H26" i="6"/>
  <c r="K26" i="6" s="1"/>
  <c r="H27" i="6"/>
  <c r="K27" i="6" s="1"/>
  <c r="H28" i="6"/>
  <c r="K28" i="6" s="1"/>
  <c r="H29" i="6"/>
  <c r="K29" i="6" s="1"/>
  <c r="K29" i="3"/>
  <c r="H29" i="3"/>
  <c r="K28" i="3"/>
  <c r="H28" i="3"/>
  <c r="K27" i="3"/>
  <c r="H27" i="3"/>
  <c r="K26" i="3"/>
  <c r="H26" i="3"/>
  <c r="K25" i="3"/>
  <c r="H25" i="3"/>
  <c r="K24" i="3"/>
  <c r="H24" i="3"/>
  <c r="K23" i="3"/>
  <c r="H23" i="3"/>
  <c r="K22" i="3"/>
  <c r="H22" i="3"/>
  <c r="K21" i="3"/>
  <c r="H21" i="3"/>
  <c r="K20" i="3"/>
  <c r="H20" i="3"/>
  <c r="K19" i="3"/>
  <c r="H19" i="3"/>
  <c r="K18" i="3"/>
  <c r="H18" i="3"/>
  <c r="K17" i="3"/>
  <c r="H17" i="3"/>
  <c r="K16" i="3"/>
  <c r="H16" i="3"/>
  <c r="K15" i="3"/>
  <c r="H15" i="3"/>
  <c r="K14" i="3"/>
  <c r="H14" i="3"/>
  <c r="K13" i="3"/>
  <c r="H13" i="3"/>
  <c r="K12" i="3"/>
  <c r="H12" i="3"/>
  <c r="K11" i="3"/>
  <c r="H11" i="3"/>
  <c r="K10" i="3"/>
  <c r="H10" i="3"/>
  <c r="K9" i="3"/>
  <c r="H9" i="3"/>
  <c r="K8" i="3"/>
  <c r="H8" i="3"/>
  <c r="K7" i="3"/>
  <c r="H7" i="3"/>
  <c r="K6" i="3"/>
  <c r="H6" i="3"/>
  <c r="K4" i="3"/>
  <c r="H4" i="3"/>
  <c r="K3" i="3"/>
  <c r="H3" i="3"/>
  <c r="H29" i="5"/>
  <c r="H28" i="5"/>
  <c r="H27" i="5"/>
  <c r="H26" i="5"/>
  <c r="H25" i="5"/>
  <c r="H24" i="5"/>
  <c r="H23" i="5"/>
  <c r="H22" i="5"/>
  <c r="H21" i="5"/>
  <c r="H20" i="5"/>
  <c r="H19" i="5"/>
  <c r="H18" i="5"/>
  <c r="H17" i="5"/>
  <c r="H16" i="5"/>
  <c r="H15" i="5"/>
  <c r="H14" i="5"/>
  <c r="H13" i="5"/>
  <c r="H12" i="5"/>
  <c r="H11" i="5"/>
  <c r="H10" i="5"/>
  <c r="H9" i="5"/>
  <c r="H8" i="5"/>
  <c r="H7" i="5"/>
  <c r="H6" i="5"/>
  <c r="H5" i="5"/>
  <c r="H4" i="5"/>
  <c r="H3" i="5"/>
  <c r="K5" i="3"/>
  <c r="H3" i="2"/>
  <c r="G5" i="1"/>
  <c r="G4" i="1"/>
  <c r="G6" i="1"/>
  <c r="G7" i="1"/>
  <c r="G8" i="1"/>
  <c r="G9" i="1"/>
  <c r="G10" i="1"/>
  <c r="G11" i="1"/>
  <c r="G12" i="1"/>
  <c r="G13" i="1"/>
  <c r="G14" i="1"/>
  <c r="G15" i="1"/>
  <c r="G16" i="1"/>
  <c r="G17" i="1"/>
  <c r="G18" i="1"/>
  <c r="G19" i="1"/>
  <c r="G20" i="1"/>
  <c r="G21" i="1"/>
  <c r="G22" i="1"/>
  <c r="G23" i="1"/>
  <c r="G24" i="1"/>
  <c r="G25" i="1"/>
  <c r="G26" i="1"/>
  <c r="G27" i="1"/>
  <c r="G28" i="1"/>
  <c r="G29" i="1"/>
  <c r="G30" i="1"/>
  <c r="C4" i="1"/>
  <c r="C5" i="1"/>
  <c r="C6" i="1"/>
  <c r="C7" i="1"/>
  <c r="C8" i="1"/>
  <c r="C9" i="1"/>
  <c r="C10" i="1"/>
  <c r="C11" i="1"/>
  <c r="C12" i="1"/>
  <c r="C13" i="1"/>
  <c r="C14" i="1"/>
  <c r="C15" i="1"/>
  <c r="C16" i="1"/>
  <c r="C17" i="1"/>
  <c r="C18" i="1"/>
  <c r="C19" i="1"/>
  <c r="C20" i="1"/>
  <c r="C21" i="1"/>
  <c r="C22" i="1"/>
  <c r="C23" i="1"/>
  <c r="C24" i="1"/>
  <c r="C25" i="1"/>
  <c r="C26" i="1"/>
  <c r="C27" i="1"/>
  <c r="C28" i="1"/>
  <c r="C29" i="1"/>
  <c r="C30" i="1"/>
  <c r="E5" i="1"/>
  <c r="E6" i="1"/>
  <c r="E7" i="1"/>
  <c r="H7" i="1" s="1"/>
  <c r="E8" i="1"/>
  <c r="E9" i="1"/>
  <c r="E10" i="1"/>
  <c r="E11" i="1"/>
  <c r="E12" i="1"/>
  <c r="E13" i="1"/>
  <c r="E14" i="1"/>
  <c r="E15" i="1"/>
  <c r="E16" i="1"/>
  <c r="E17" i="1"/>
  <c r="E18" i="1"/>
  <c r="E19" i="1"/>
  <c r="E20" i="1"/>
  <c r="E21" i="1"/>
  <c r="E22" i="1"/>
  <c r="E23" i="1"/>
  <c r="E24" i="1"/>
  <c r="E25" i="1"/>
  <c r="E26" i="1"/>
  <c r="E27" i="1"/>
  <c r="E28" i="1"/>
  <c r="E29" i="1"/>
  <c r="E30" i="1"/>
  <c r="E4" i="1"/>
  <c r="J5" i="1"/>
  <c r="J6" i="1"/>
  <c r="J7" i="1"/>
  <c r="J8" i="1"/>
  <c r="J9" i="1"/>
  <c r="J10" i="1"/>
  <c r="J11" i="1"/>
  <c r="J12" i="1"/>
  <c r="J13" i="1"/>
  <c r="J14" i="1"/>
  <c r="J15" i="1"/>
  <c r="J16" i="1"/>
  <c r="J17" i="1"/>
  <c r="J18" i="1"/>
  <c r="J19" i="1"/>
  <c r="J20" i="1"/>
  <c r="J21" i="1"/>
  <c r="J22" i="1"/>
  <c r="J23" i="1"/>
  <c r="J24" i="1"/>
  <c r="J25" i="1"/>
  <c r="J26" i="1"/>
  <c r="J27" i="1"/>
  <c r="J28" i="1"/>
  <c r="J29" i="1"/>
  <c r="J30" i="1"/>
  <c r="P6" i="1" l="1"/>
  <c r="H26" i="1"/>
  <c r="H18" i="1"/>
  <c r="H14" i="1"/>
  <c r="H27" i="1"/>
  <c r="H15" i="1"/>
  <c r="H13" i="1"/>
  <c r="H11" i="1"/>
  <c r="H16" i="1"/>
  <c r="H12" i="1"/>
  <c r="H10" i="1"/>
  <c r="H8" i="1"/>
  <c r="H6" i="1"/>
  <c r="H4" i="1"/>
  <c r="H30" i="1"/>
  <c r="H29" i="1"/>
  <c r="H28" i="1"/>
  <c r="H25" i="1"/>
  <c r="H24" i="1"/>
  <c r="H23" i="1"/>
  <c r="H22" i="1"/>
  <c r="H21" i="1"/>
  <c r="H20" i="1"/>
  <c r="H19" i="1"/>
  <c r="H17" i="1"/>
  <c r="H9" i="1"/>
  <c r="H5" i="1"/>
</calcChain>
</file>

<file path=xl/sharedStrings.xml><?xml version="1.0" encoding="utf-8"?>
<sst xmlns="http://schemas.openxmlformats.org/spreadsheetml/2006/main" count="1199" uniqueCount="263">
  <si>
    <t>NAME</t>
  </si>
  <si>
    <t>CAT 1</t>
  </si>
  <si>
    <t>END OF TERM</t>
  </si>
  <si>
    <t>MID TERM</t>
  </si>
  <si>
    <t>END OF TERM(50%)</t>
  </si>
  <si>
    <t>TOTAL</t>
  </si>
  <si>
    <t>AMOAKO ROLAND KOBBY</t>
  </si>
  <si>
    <t>ADOMAH KWODWO EMMANUEL</t>
  </si>
  <si>
    <t>AMENGOR MARK</t>
  </si>
  <si>
    <t>AGYEMANG TWUMASI CHRISTIAN</t>
  </si>
  <si>
    <t>AMISSAH-AIDOO REGINALD</t>
  </si>
  <si>
    <t>CHRIS PSALMS NHYIRA</t>
  </si>
  <si>
    <t>IBN-UMAR MARZUQ</t>
  </si>
  <si>
    <t>IBRAHIM SAANI MOHAMMEND</t>
  </si>
  <si>
    <t>ODOI YEMOH EZEKIEL</t>
  </si>
  <si>
    <t>TEYE OMAN ELLIOT</t>
  </si>
  <si>
    <t>SIKAYENA YANKEY ADOM</t>
  </si>
  <si>
    <t>AYIDA DENNIS</t>
  </si>
  <si>
    <t>ADDO BETSY</t>
  </si>
  <si>
    <t>ADU TIFFANY</t>
  </si>
  <si>
    <t>ABDUL RASHIDA INAAYA</t>
  </si>
  <si>
    <t>AGYEMANG-BADU EMMANUELLA</t>
  </si>
  <si>
    <t xml:space="preserve">AYIDA ISSABELLA </t>
  </si>
  <si>
    <t>HAFE ELINAM ELKA</t>
  </si>
  <si>
    <t>JAMES-KISSAW ELIZABETH</t>
  </si>
  <si>
    <t>LEDE ENAM LAUREN</t>
  </si>
  <si>
    <t>KLINOGO MAWUENA JOYCELIN</t>
  </si>
  <si>
    <t>IGWE CARRISA</t>
  </si>
  <si>
    <t>KONU ASEYE MAKADESH</t>
  </si>
  <si>
    <t>TEI KUKUA DEDE</t>
  </si>
  <si>
    <t>TORVIKE PHILOTHEA</t>
  </si>
  <si>
    <t>LOGO OSEI KYLIE</t>
  </si>
  <si>
    <t>ADDO-DANKWA K. AFIA</t>
  </si>
  <si>
    <t>MEAN</t>
  </si>
  <si>
    <t>MAX</t>
  </si>
  <si>
    <t>MIN</t>
  </si>
  <si>
    <t xml:space="preserve">CAT </t>
  </si>
  <si>
    <t>MT</t>
  </si>
  <si>
    <t>EoT</t>
  </si>
  <si>
    <t>MATH</t>
  </si>
  <si>
    <t>ENGLISH</t>
  </si>
  <si>
    <t>SCIENCE</t>
  </si>
  <si>
    <t>OWOP</t>
  </si>
  <si>
    <t xml:space="preserve">RME </t>
  </si>
  <si>
    <t>HISTORY</t>
  </si>
  <si>
    <t>GENDER</t>
  </si>
  <si>
    <t>F</t>
  </si>
  <si>
    <t>M</t>
  </si>
  <si>
    <t>CAT 20%</t>
  </si>
  <si>
    <t>MID TERM(20%)</t>
  </si>
  <si>
    <t>PROJECT WORK</t>
  </si>
  <si>
    <t>PW 10%</t>
  </si>
  <si>
    <t>IAS</t>
  </si>
  <si>
    <t>LEARNER'S NAME</t>
  </si>
  <si>
    <t>CAT (100%)</t>
  </si>
  <si>
    <t>MTE (100%)</t>
  </si>
  <si>
    <t>P-WORK (100%)</t>
  </si>
  <si>
    <t>TOTAL (20+20+10)%</t>
  </si>
  <si>
    <t>ETE (100%)</t>
  </si>
  <si>
    <t>(50+50)%</t>
  </si>
  <si>
    <t>ADDO DANKWAA AFIA KYEREWAA</t>
  </si>
  <si>
    <t>ADOMAH KWADWO EMMANUEL</t>
  </si>
  <si>
    <t>AGYEMANG -BADU EMMANUELLA</t>
  </si>
  <si>
    <t>AMEAKO ROLAND KOBBY</t>
  </si>
  <si>
    <t>AMENGOR MARK OTU</t>
  </si>
  <si>
    <t>AYIDA ISSABELLA</t>
  </si>
  <si>
    <t xml:space="preserve">HAFE ELKA ELINAM </t>
  </si>
  <si>
    <t>IBRAHIM SAANI MOHAMMED</t>
  </si>
  <si>
    <t>IGWE CARISSA ABENA CHIDINMA</t>
  </si>
  <si>
    <t>KLINOGO M. JOYCELYN</t>
  </si>
  <si>
    <t>KONU MAKADESH</t>
  </si>
  <si>
    <t>LEDI LAUREEN ENAM</t>
  </si>
  <si>
    <t>ODOI YOMOH EZEKIEL</t>
  </si>
  <si>
    <t>OMAN ELLIOT TEYE</t>
  </si>
  <si>
    <t>OSEI-LOGO KYLIE</t>
  </si>
  <si>
    <t>TWI</t>
  </si>
  <si>
    <t>CAT (20%)</t>
  </si>
  <si>
    <t>MIDTERM</t>
  </si>
  <si>
    <t>MIDTERM 20</t>
  </si>
  <si>
    <t>PW</t>
  </si>
  <si>
    <t>PW 10</t>
  </si>
  <si>
    <t>ETE 100</t>
  </si>
  <si>
    <t>ETE 50</t>
  </si>
  <si>
    <t>NAMES</t>
  </si>
  <si>
    <t>Column1</t>
  </si>
  <si>
    <t>CA</t>
  </si>
  <si>
    <t>TOTAL (800)</t>
  </si>
  <si>
    <t>ABUBULAI SAA-AD SUHUYINI</t>
  </si>
  <si>
    <t>ADDO AWESOME</t>
  </si>
  <si>
    <t>AGBOTER SHANIAH SHESHE</t>
  </si>
  <si>
    <t>ALORWU ELIKPLIM</t>
  </si>
  <si>
    <t>ALORWU ELINAM</t>
  </si>
  <si>
    <t xml:space="preserve">ALU ANDREWS KWOFIE </t>
  </si>
  <si>
    <t>AMPOFO SUSANA OHENEWAA</t>
  </si>
  <si>
    <t>APPIAH SAMUEL FORDJOUR</t>
  </si>
  <si>
    <t>BAKU KHARISSA</t>
  </si>
  <si>
    <t>DARKO MARY</t>
  </si>
  <si>
    <t>DAVOR MILDRED FAFALI</t>
  </si>
  <si>
    <t>DOKU JONATHAN</t>
  </si>
  <si>
    <t>FOSU BENAIAH POMEYI</t>
  </si>
  <si>
    <t>HAFE KAYLA SHIKA</t>
  </si>
  <si>
    <t>KONADU YIADOM NYAMENAYE</t>
  </si>
  <si>
    <t>KPODO ELIUD OFOTSU</t>
  </si>
  <si>
    <t>KWAO CALISTA</t>
  </si>
  <si>
    <t>KWAO CHRISTIAN</t>
  </si>
  <si>
    <t>MARTEY JUSTICE NII</t>
  </si>
  <si>
    <t>MENSAH ADWOA OHENEWAA ANAAFI</t>
  </si>
  <si>
    <t>MENSAH PHAEDRA</t>
  </si>
  <si>
    <t>ODURO SIKA MAAME AKESE</t>
  </si>
  <si>
    <t>OKLE FIIFI TEYE</t>
  </si>
  <si>
    <t>OPAREBEA EUGENIA OPOKU SARPONG</t>
  </si>
  <si>
    <t>OWUSU MAAME YAA MANSOWAA</t>
  </si>
  <si>
    <t>ABOAGYE JAYDEN ANDERSON</t>
  </si>
  <si>
    <t>AGBOWADA PRINCESS DELALI</t>
  </si>
  <si>
    <t>AGYAPONG MARY ADWOA</t>
  </si>
  <si>
    <t>AKABA SELINA</t>
  </si>
  <si>
    <t>ALU EZRA KWOFIE</t>
  </si>
  <si>
    <t>AMENGOR DENNIS</t>
  </si>
  <si>
    <t>AMOAKO DAVID BADU KOFI</t>
  </si>
  <si>
    <t>AMPONSAH FABIANA</t>
  </si>
  <si>
    <t>ANDERSON ELIANA</t>
  </si>
  <si>
    <t>ANYOMI RICHARD ASIOME</t>
  </si>
  <si>
    <t>ASARE KOFI OBENG</t>
  </si>
  <si>
    <t>ASIEDU CALEB</t>
  </si>
  <si>
    <t>ATAMBIRE WISTON ANAMBIRE</t>
  </si>
  <si>
    <t>AYARN ISSABELLA ALHASSAN</t>
  </si>
  <si>
    <t>AYIDA MARKBIRTH</t>
  </si>
  <si>
    <t>AYIN JOSE MANUEL</t>
  </si>
  <si>
    <t>BAAH MELISA ENAM</t>
  </si>
  <si>
    <t>BENNEH KYEREMEH CHRISTODIA</t>
  </si>
  <si>
    <t>DOKU MICHELLE</t>
  </si>
  <si>
    <t>GYANDU OTIS NATHAN</t>
  </si>
  <si>
    <t>KORANKYE GILDA EWURABENA</t>
  </si>
  <si>
    <t>MIRIAM NHYIRA AKUA BOACNIE</t>
  </si>
  <si>
    <t>OWUSU NYAMEKYE EWURADWOA</t>
  </si>
  <si>
    <t>QUARTEY JOHN-MARK</t>
  </si>
  <si>
    <t>TAMAKLOE JAYDEN</t>
  </si>
  <si>
    <t>TETTEH CORNELIUS KOFI NAGAI</t>
  </si>
  <si>
    <t>BASIC</t>
  </si>
  <si>
    <t>20%</t>
  </si>
  <si>
    <t>20%2</t>
  </si>
  <si>
    <t>10%</t>
  </si>
  <si>
    <t>50%</t>
  </si>
  <si>
    <t>FRENCH</t>
  </si>
  <si>
    <t>COMPUTING</t>
  </si>
  <si>
    <t>ABDULAI SAA-AD SUHINI</t>
  </si>
  <si>
    <t>Row Labels</t>
  </si>
  <si>
    <t>Grand Total</t>
  </si>
  <si>
    <t>Average of TOTAL (800)</t>
  </si>
  <si>
    <t>NEED HELP</t>
  </si>
  <si>
    <t>Sum of TOTAL (800)</t>
  </si>
  <si>
    <t>PASS RATE</t>
  </si>
  <si>
    <t>HP</t>
  </si>
  <si>
    <t>Count of TOTAL (800)</t>
  </si>
  <si>
    <t>Average of ENGLISH</t>
  </si>
  <si>
    <t>Average of OWOP</t>
  </si>
  <si>
    <t>Average of SCIENCE</t>
  </si>
  <si>
    <t>Average of MATH</t>
  </si>
  <si>
    <t xml:space="preserve">Average of RME </t>
  </si>
  <si>
    <t>Average of COMPUTING</t>
  </si>
  <si>
    <t>Average of FRENCH</t>
  </si>
  <si>
    <t>Average of HISTORY</t>
  </si>
  <si>
    <t>Average of TWI</t>
  </si>
  <si>
    <t>Average of CA</t>
  </si>
  <si>
    <t>Column Labels</t>
  </si>
  <si>
    <t>FAIL</t>
  </si>
  <si>
    <t>PASS</t>
  </si>
  <si>
    <t>TL</t>
  </si>
  <si>
    <t>AT</t>
  </si>
  <si>
    <t>Min score</t>
  </si>
  <si>
    <t>Max score</t>
  </si>
  <si>
    <t>Max</t>
  </si>
  <si>
    <t>Count</t>
  </si>
  <si>
    <t/>
  </si>
  <si>
    <t>TERM</t>
  </si>
  <si>
    <t>ATTENDANCE</t>
  </si>
  <si>
    <t>AVG SCORE</t>
  </si>
  <si>
    <t>TOTAL (1000)</t>
  </si>
  <si>
    <t>INDEX NUMBER</t>
  </si>
  <si>
    <t>HICS-101283027</t>
  </si>
  <si>
    <t>HICS-101283028</t>
  </si>
  <si>
    <t>HICS-101283029</t>
  </si>
  <si>
    <t>HICS-101283030</t>
  </si>
  <si>
    <t>HICS-101283031</t>
  </si>
  <si>
    <t>HICS-101283032</t>
  </si>
  <si>
    <t>HICS-101283033</t>
  </si>
  <si>
    <t>HICS-101283034</t>
  </si>
  <si>
    <t>HICS-101283035</t>
  </si>
  <si>
    <t>HICS-101283036</t>
  </si>
  <si>
    <t>HICS-101283037</t>
  </si>
  <si>
    <t>HICS-101283038</t>
  </si>
  <si>
    <t>HICS-101283039</t>
  </si>
  <si>
    <t>HICS-101283040</t>
  </si>
  <si>
    <t>HICS-101283041</t>
  </si>
  <si>
    <t>HICS-101283042</t>
  </si>
  <si>
    <t>HICS-101283043</t>
  </si>
  <si>
    <t>HICS-101283044</t>
  </si>
  <si>
    <t>HICS-101283045</t>
  </si>
  <si>
    <t>HICS-101283046</t>
  </si>
  <si>
    <t>HICS-101283047</t>
  </si>
  <si>
    <t>HICS-101283048</t>
  </si>
  <si>
    <t>HICS-101283049</t>
  </si>
  <si>
    <t>HICS-101283050</t>
  </si>
  <si>
    <t>HICS-101283051</t>
  </si>
  <si>
    <t>HICS-101283052</t>
  </si>
  <si>
    <t>HICS-101283053</t>
  </si>
  <si>
    <t>HICS-101283054</t>
  </si>
  <si>
    <t>HICS-101283055</t>
  </si>
  <si>
    <t>HICS-101283056</t>
  </si>
  <si>
    <t>HICS-101283057</t>
  </si>
  <si>
    <t>HICS-101283058</t>
  </si>
  <si>
    <t>HICS-101283059</t>
  </si>
  <si>
    <t>HICS-101283060</t>
  </si>
  <si>
    <t>HICS-101283061</t>
  </si>
  <si>
    <t>HICS-101283062</t>
  </si>
  <si>
    <t>HICS-101283063</t>
  </si>
  <si>
    <t>HICS-101283064</t>
  </si>
  <si>
    <t>HICS-101283065</t>
  </si>
  <si>
    <t>HICS-101283066</t>
  </si>
  <si>
    <t>HICS-101283067</t>
  </si>
  <si>
    <t>HICS-101283068</t>
  </si>
  <si>
    <t>HICS-101283069</t>
  </si>
  <si>
    <t>HICS-101283070</t>
  </si>
  <si>
    <t>HICS-101283071</t>
  </si>
  <si>
    <t>HICS-101283072</t>
  </si>
  <si>
    <t>HICS-101283073</t>
  </si>
  <si>
    <t>HICS-101283074</t>
  </si>
  <si>
    <t>HICS-101283075</t>
  </si>
  <si>
    <t>HICS-101283076</t>
  </si>
  <si>
    <t>HICS-101283077</t>
  </si>
  <si>
    <t>HICS-101283078</t>
  </si>
  <si>
    <t>HICS-101283079</t>
  </si>
  <si>
    <t>HICS-101283080</t>
  </si>
  <si>
    <t>HICS-101283081</t>
  </si>
  <si>
    <t>HICS-101283082</t>
  </si>
  <si>
    <t>HICS-101283083</t>
  </si>
  <si>
    <t>HICS-101283084</t>
  </si>
  <si>
    <t>HICS-101283085</t>
  </si>
  <si>
    <t>HICS-101283086</t>
  </si>
  <si>
    <t>HICS-101283087</t>
  </si>
  <si>
    <t>HICS-101283088</t>
  </si>
  <si>
    <t>HICS-101283089</t>
  </si>
  <si>
    <t>HICS-101283090</t>
  </si>
  <si>
    <t>HICS-101283091</t>
  </si>
  <si>
    <t>HICS-101283092</t>
  </si>
  <si>
    <t>HICS-101283093</t>
  </si>
  <si>
    <t>HICS-101283094</t>
  </si>
  <si>
    <t>HICS-101283095</t>
  </si>
  <si>
    <t>HICS-101283096</t>
  </si>
  <si>
    <t>HICS-101283097</t>
  </si>
  <si>
    <t>HICS-101283098</t>
  </si>
  <si>
    <t>HICS-101283099</t>
  </si>
  <si>
    <t>HICS-101283100</t>
  </si>
  <si>
    <t>HICS-101283101</t>
  </si>
  <si>
    <t>HICS-101283102</t>
  </si>
  <si>
    <t>HICS-101283103</t>
  </si>
  <si>
    <t>HICS-101283104</t>
  </si>
  <si>
    <t>image</t>
  </si>
  <si>
    <t>TERM 1 REPORTS</t>
  </si>
  <si>
    <t>DATE:</t>
  </si>
  <si>
    <t>REOPENS DATE:</t>
  </si>
  <si>
    <t>STUDENT ID</t>
  </si>
  <si>
    <t>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</si>
</sst>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7" formatCode="[$-F800]dddd\,\ mmmm\ dd\,\ yyyy"/>
  </numFmts>
  <fonts count="11" x14ac:knownFonts="1">
    <font>
      <sz val="11"/>
      <color theme="1"/>
      <name val="Calibri"/>
      <family val="2"/>
      <scheme val="minor"/>
    </font>
    <font>
      <sz val="12"/>
      <name val="Calibri"/>
      <family val="2"/>
      <scheme val="minor"/>
    </font>
    <font>
      <b/>
      <sz val="11"/>
      <color theme="0"/>
      <name val="Calibri"/>
      <family val="2"/>
      <scheme val="minor"/>
    </font>
    <font>
      <sz val="11"/>
      <color theme="0"/>
      <name val="Calibri"/>
      <family val="2"/>
      <scheme val="minor"/>
    </font>
    <font>
      <sz val="12"/>
      <color theme="1"/>
      <name val="Calibri"/>
      <family val="2"/>
      <scheme val="minor"/>
    </font>
    <font>
      <b/>
      <sz val="12"/>
      <color theme="0"/>
      <name val="Calibri"/>
      <family val="2"/>
      <scheme val="minor"/>
    </font>
    <font>
      <sz val="11"/>
      <name val="Calibri"/>
      <family val="2"/>
      <scheme val="minor"/>
    </font>
    <font>
      <sz val="18"/>
      <name val="Calibri"/>
      <family val="2"/>
      <scheme val="minor"/>
    </font>
    <font>
      <sz val="18"/>
      <color theme="0"/>
      <name val="Calibri"/>
      <family val="2"/>
      <scheme val="minor"/>
    </font>
    <font>
      <sz val="8"/>
      <name val="Calibri"/>
      <family val="2"/>
      <scheme val="minor"/>
    </font>
    <font>
      <sz val="72"/>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bgColor indexed="64"/>
      </patternFill>
    </fill>
  </fills>
  <borders count="22">
    <border>
      <left/>
      <right/>
      <top/>
      <bottom/>
      <diagonal/>
    </border>
    <border>
      <left style="thin">
        <color theme="8"/>
      </left>
      <right style="thin">
        <color theme="8"/>
      </right>
      <top style="thin">
        <color theme="8"/>
      </top>
      <bottom style="thin">
        <color theme="8"/>
      </bottom>
      <diagonal/>
    </border>
    <border>
      <left style="thin">
        <color theme="1"/>
      </left>
      <right/>
      <top style="thin">
        <color theme="1"/>
      </top>
      <bottom style="thin">
        <color theme="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8"/>
      </top>
      <bottom/>
      <diagonal/>
    </border>
    <border>
      <left style="thin">
        <color theme="8"/>
      </left>
      <right/>
      <top style="thin">
        <color theme="8"/>
      </top>
      <bottom/>
      <diagonal/>
    </border>
    <border>
      <left style="thin">
        <color theme="1"/>
      </left>
      <right/>
      <top style="thin">
        <color theme="8"/>
      </top>
      <bottom/>
      <diagonal/>
    </border>
    <border>
      <left style="thin">
        <color theme="1"/>
      </left>
      <right/>
      <top style="thin">
        <color theme="1"/>
      </top>
      <bottom/>
      <diagonal/>
    </border>
    <border>
      <left/>
      <right/>
      <top style="thin">
        <color theme="1"/>
      </top>
      <bottom/>
      <diagonal/>
    </border>
    <border>
      <left style="thin">
        <color theme="8"/>
      </left>
      <right/>
      <top style="thin">
        <color theme="1"/>
      </top>
      <bottom/>
      <diagonal/>
    </border>
    <border>
      <left style="thin">
        <color theme="8"/>
      </left>
      <right/>
      <top style="thin">
        <color theme="8"/>
      </top>
      <bottom style="thin">
        <color theme="8"/>
      </bottom>
      <diagonal/>
    </border>
    <border>
      <left style="thin">
        <color theme="8"/>
      </left>
      <right/>
      <top/>
      <bottom/>
      <diagonal/>
    </border>
    <border>
      <left style="thin">
        <color theme="8"/>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8"/>
      </left>
      <right/>
      <top style="thin">
        <color theme="4" tint="0.39997558519241921"/>
      </top>
      <bottom/>
      <diagonal/>
    </border>
    <border>
      <left style="thin">
        <color theme="4" tint="0.39997558519241921"/>
      </left>
      <right/>
      <top/>
      <bottom/>
      <diagonal/>
    </border>
    <border>
      <left/>
      <right/>
      <top/>
      <bottom style="thin">
        <color indexed="64"/>
      </bottom>
      <diagonal/>
    </border>
    <border>
      <left style="thin">
        <color theme="8"/>
      </left>
      <right style="thin">
        <color theme="8"/>
      </right>
      <top style="thin">
        <color theme="8"/>
      </top>
      <bottom style="thin">
        <color indexed="64"/>
      </bottom>
      <diagonal/>
    </border>
    <border>
      <left style="thin">
        <color theme="1"/>
      </left>
      <right/>
      <top/>
      <bottom/>
      <diagonal/>
    </border>
  </borders>
  <cellStyleXfs count="1">
    <xf numFmtId="0" fontId="0" fillId="0" borderId="0"/>
  </cellStyleXfs>
  <cellXfs count="70">
    <xf numFmtId="0" fontId="0" fillId="0" borderId="0" xfId="0"/>
    <xf numFmtId="0" fontId="0" fillId="0" borderId="0" xfId="0" applyAlignment="1">
      <alignment horizontal="center"/>
    </xf>
    <xf numFmtId="0" fontId="0" fillId="0" borderId="0" xfId="0" applyAlignment="1">
      <alignment horizontal="right"/>
    </xf>
    <xf numFmtId="9" fontId="0" fillId="0" borderId="0" xfId="0" applyNumberFormat="1" applyAlignment="1">
      <alignment horizontal="right"/>
    </xf>
    <xf numFmtId="0" fontId="0" fillId="0" borderId="0" xfId="0" applyAlignment="1">
      <alignment horizontal="left"/>
    </xf>
    <xf numFmtId="0" fontId="4" fillId="0" borderId="0" xfId="0" applyFont="1"/>
    <xf numFmtId="0" fontId="4" fillId="0" borderId="7"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1" fillId="0" borderId="6" xfId="0" applyFont="1" applyBorder="1" applyAlignment="1">
      <alignment horizontal="right"/>
    </xf>
    <xf numFmtId="0" fontId="4" fillId="0" borderId="5" xfId="0" applyFont="1" applyBorder="1" applyAlignment="1">
      <alignment horizontal="right"/>
    </xf>
    <xf numFmtId="0" fontId="4" fillId="0" borderId="6" xfId="0" applyFont="1" applyBorder="1" applyAlignment="1">
      <alignment horizontal="right"/>
    </xf>
    <xf numFmtId="0" fontId="4" fillId="0" borderId="9" xfId="0" applyFont="1" applyBorder="1" applyAlignment="1">
      <alignment horizontal="right"/>
    </xf>
    <xf numFmtId="0" fontId="4" fillId="0" borderId="10" xfId="0" applyFont="1" applyBorder="1" applyAlignment="1">
      <alignment horizontal="right"/>
    </xf>
    <xf numFmtId="0" fontId="1" fillId="0" borderId="11" xfId="0" applyFont="1" applyBorder="1" applyAlignment="1">
      <alignment horizontal="right"/>
    </xf>
    <xf numFmtId="0" fontId="1" fillId="0" borderId="6" xfId="0" applyFont="1" applyBorder="1" applyAlignment="1">
      <alignment horizontal="left"/>
    </xf>
    <xf numFmtId="0" fontId="0" fillId="0" borderId="0" xfId="0" applyAlignment="1">
      <alignment horizontal="right" vertical="center" wrapText="1"/>
    </xf>
    <xf numFmtId="0" fontId="5" fillId="0" borderId="12" xfId="0" applyFont="1" applyBorder="1" applyAlignment="1">
      <alignment horizontal="left"/>
    </xf>
    <xf numFmtId="0" fontId="5" fillId="0" borderId="12" xfId="0" applyFont="1" applyBorder="1" applyAlignment="1">
      <alignment horizontal="right"/>
    </xf>
    <xf numFmtId="9" fontId="5" fillId="0" borderId="12" xfId="0" applyNumberFormat="1" applyFont="1" applyBorder="1" applyAlignment="1">
      <alignment horizontal="right"/>
    </xf>
    <xf numFmtId="0" fontId="5" fillId="0" borderId="12" xfId="0" applyFont="1" applyBorder="1" applyAlignment="1">
      <alignment horizontal="right" vertical="center"/>
    </xf>
    <xf numFmtId="0" fontId="3" fillId="0" borderId="0" xfId="0" applyFont="1"/>
    <xf numFmtId="0" fontId="0" fillId="0" borderId="1" xfId="0" applyBorder="1" applyAlignment="1">
      <alignment horizontal="left"/>
    </xf>
    <xf numFmtId="0" fontId="4" fillId="0" borderId="1" xfId="0" applyFont="1" applyBorder="1" applyAlignment="1">
      <alignment horizontal="left"/>
    </xf>
    <xf numFmtId="0" fontId="0" fillId="0" borderId="14" xfId="0" applyBorder="1"/>
    <xf numFmtId="0" fontId="0" fillId="0" borderId="15" xfId="0" applyBorder="1"/>
    <xf numFmtId="0" fontId="0" fillId="0" borderId="16" xfId="0" applyBorder="1"/>
    <xf numFmtId="0" fontId="0" fillId="0" borderId="6" xfId="0" applyBorder="1" applyAlignment="1">
      <alignment horizontal="left"/>
    </xf>
    <xf numFmtId="0" fontId="0" fillId="0" borderId="17" xfId="0" applyBorder="1"/>
    <xf numFmtId="0" fontId="0" fillId="0" borderId="11" xfId="0" applyBorder="1" applyAlignment="1">
      <alignment horizontal="left"/>
    </xf>
    <xf numFmtId="0" fontId="0" fillId="0" borderId="13" xfId="0" applyBorder="1"/>
    <xf numFmtId="0" fontId="0" fillId="0" borderId="3" xfId="0" applyBorder="1"/>
    <xf numFmtId="0" fontId="0" fillId="0" borderId="4" xfId="0" applyBorder="1"/>
    <xf numFmtId="0" fontId="2" fillId="0" borderId="18" xfId="0" applyFont="1" applyBorder="1"/>
    <xf numFmtId="0" fontId="2" fillId="0" borderId="0" xfId="0" applyFont="1"/>
    <xf numFmtId="0" fontId="0" fillId="2" borderId="1" xfId="0" applyFill="1" applyBorder="1" applyAlignment="1">
      <alignment horizontal="left"/>
    </xf>
    <xf numFmtId="0" fontId="0" fillId="2" borderId="0" xfId="0" applyFill="1"/>
    <xf numFmtId="0" fontId="0" fillId="0" borderId="20" xfId="0" applyBorder="1" applyAlignment="1">
      <alignment horizontal="left"/>
    </xf>
    <xf numFmtId="0" fontId="0" fillId="0" borderId="19" xfId="0" applyBorder="1"/>
    <xf numFmtId="0" fontId="0" fillId="2" borderId="6" xfId="0" applyFill="1" applyBorder="1" applyAlignment="1">
      <alignment horizontal="left"/>
    </xf>
    <xf numFmtId="0" fontId="0" fillId="2" borderId="17" xfId="0" applyFill="1" applyBorder="1"/>
    <xf numFmtId="0" fontId="0" fillId="2" borderId="15" xfId="0" applyFill="1" applyBorder="1"/>
    <xf numFmtId="0" fontId="0" fillId="2" borderId="16" xfId="0" applyFill="1" applyBorder="1"/>
    <xf numFmtId="0" fontId="4" fillId="0" borderId="21" xfId="0" applyFont="1" applyBorder="1" applyAlignment="1">
      <alignment horizontal="left"/>
    </xf>
    <xf numFmtId="0" fontId="4" fillId="0" borderId="0" xfId="0" applyFont="1" applyAlignment="1">
      <alignment horizontal="right"/>
    </xf>
    <xf numFmtId="0" fontId="1" fillId="0" borderId="12" xfId="0" applyFont="1" applyBorder="1" applyAlignment="1">
      <alignment horizontal="right"/>
    </xf>
    <xf numFmtId="0" fontId="4" fillId="0" borderId="12" xfId="0" applyFont="1" applyBorder="1" applyAlignment="1">
      <alignment horizontal="right"/>
    </xf>
    <xf numFmtId="0" fontId="0" fillId="0" borderId="0" xfId="0" pivotButton="1"/>
    <xf numFmtId="0" fontId="6" fillId="0" borderId="0" xfId="0" applyFont="1"/>
    <xf numFmtId="10" fontId="0" fillId="0" borderId="0" xfId="0" applyNumberFormat="1"/>
    <xf numFmtId="0" fontId="0" fillId="0" borderId="0" xfId="0" applyNumberFormat="1"/>
    <xf numFmtId="0" fontId="8" fillId="0" borderId="0" xfId="0" applyNumberFormat="1" applyFont="1" applyFill="1"/>
    <xf numFmtId="0" fontId="7" fillId="0" borderId="0" xfId="0" applyFont="1" applyFill="1"/>
    <xf numFmtId="0" fontId="3" fillId="0" borderId="0" xfId="0" applyNumberFormat="1" applyFont="1"/>
    <xf numFmtId="164" fontId="3" fillId="3" borderId="0" xfId="0" applyNumberFormat="1" applyFont="1" applyFill="1"/>
    <xf numFmtId="0" fontId="0" fillId="0" borderId="0" xfId="0" applyFill="1"/>
    <xf numFmtId="0" fontId="0" fillId="4" borderId="1" xfId="0" applyFill="1" applyBorder="1" applyAlignment="1">
      <alignment horizontal="left"/>
    </xf>
    <xf numFmtId="0" fontId="0" fillId="4" borderId="0" xfId="0" applyFill="1"/>
    <xf numFmtId="0" fontId="4" fillId="0" borderId="0" xfId="0" applyFont="1" applyFill="1"/>
    <xf numFmtId="0" fontId="4" fillId="4" borderId="1" xfId="0" applyFont="1" applyFill="1" applyBorder="1" applyAlignment="1">
      <alignment horizontal="left"/>
    </xf>
    <xf numFmtId="0" fontId="4" fillId="4" borderId="0" xfId="0" applyFont="1" applyFill="1"/>
    <xf numFmtId="0" fontId="0" fillId="4" borderId="6" xfId="0" applyFill="1" applyBorder="1" applyAlignment="1">
      <alignment horizontal="left"/>
    </xf>
    <xf numFmtId="0" fontId="0" fillId="4" borderId="17" xfId="0" applyFill="1" applyBorder="1"/>
    <xf numFmtId="0" fontId="0" fillId="4" borderId="15" xfId="0" applyFill="1" applyBorder="1"/>
    <xf numFmtId="0" fontId="0" fillId="5" borderId="0" xfId="0" applyFill="1"/>
    <xf numFmtId="0" fontId="3" fillId="6" borderId="0" xfId="0" applyFont="1" applyFill="1"/>
    <xf numFmtId="0" fontId="0" fillId="6" borderId="0" xfId="0" applyFill="1"/>
    <xf numFmtId="0" fontId="10" fillId="0" borderId="0" xfId="0" applyFont="1" applyAlignment="1">
      <alignment horizontal="center" vertical="center"/>
    </xf>
    <xf numFmtId="0" fontId="0" fillId="0" borderId="0" xfId="0" applyAlignment="1">
      <alignment horizontal="center"/>
    </xf>
    <xf numFmtId="167" fontId="0" fillId="0" borderId="0" xfId="0" applyNumberFormat="1"/>
  </cellXfs>
  <cellStyles count="1">
    <cellStyle name="Normal" xfId="0" builtinId="0"/>
  </cellStyles>
  <dxfs count="186">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center" textRotation="0" wrapText="1"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center" textRotation="0" wrapText="1" indent="0" justifyLastLine="0" shrinkToFit="0" readingOrder="0"/>
    </dxf>
    <dxf>
      <fill>
        <patternFill patternType="none">
          <bgColor auto="1"/>
        </patternFill>
      </fill>
      <alignment horizontal="right" vertical="bottom" textRotation="0" wrapText="0" indent="0" justifyLastLine="0" shrinkToFit="0" readingOrder="0"/>
    </dxf>
    <dxf>
      <fill>
        <patternFill patternType="none">
          <bgColor auto="1"/>
        </patternFill>
      </fill>
      <alignment horizontal="right" vertical="center" textRotation="0" wrapText="1" indent="0" justifyLastLine="0" shrinkToFit="0" readingOrder="0"/>
    </dxf>
    <dxf>
      <fill>
        <patternFill patternType="none">
          <fgColor theme="8" tint="0.79998168889431442"/>
          <bgColor auto="1"/>
        </patternFill>
      </fill>
      <alignment horizontal="left" vertical="bottom" textRotation="0" wrapText="0" indent="0" justifyLastLine="0" shrinkToFit="0" readingOrder="0"/>
    </dxf>
    <dxf>
      <fill>
        <patternFill patternType="none">
          <bgColor auto="1"/>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1"/>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1"/>
        </top>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theme="8"/>
        </left>
        <right/>
        <top style="thin">
          <color theme="8"/>
        </top>
        <bottom/>
        <vertical/>
        <horizontal/>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theme="1"/>
        </left>
        <right/>
        <top/>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theme="1"/>
        </left>
        <right/>
        <top style="thin">
          <color theme="1"/>
        </top>
        <bottom/>
        <vertical/>
        <horizontal/>
      </border>
    </dxf>
    <dxf>
      <border outline="0">
        <right style="thin">
          <color theme="8"/>
        </right>
        <top style="thin">
          <color theme="8"/>
        </top>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right"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numFmt numFmtId="13" formatCode="0%"/>
      <fill>
        <patternFill patternType="none">
          <fgColor indexed="64"/>
          <bgColor indexed="65"/>
        </patternFill>
      </fill>
      <alignment horizontal="right" vertical="bottom" textRotation="0" wrapText="0" indent="0" justifyLastLine="0" shrinkToFit="0" readingOrder="0"/>
      <border diagonalUp="0" diagonalDown="0" outline="0">
        <left style="thin">
          <color theme="8"/>
        </left>
        <right style="thin">
          <color theme="8"/>
        </right>
        <top/>
        <bottom/>
      </border>
    </dxf>
    <dxf>
      <font>
        <strike val="0"/>
        <outline val="0"/>
        <shadow val="0"/>
        <u val="none"/>
        <vertAlign val="baseline"/>
        <color theme="0"/>
        <name val="Calibri"/>
        <family val="2"/>
        <scheme val="minor"/>
      </font>
    </dxf>
    <dxf>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fill>
        <patternFill patternType="none">
          <bgColor auto="1"/>
        </patternFill>
      </fill>
    </dxf>
    <dxf>
      <font>
        <b val="0"/>
        <i val="0"/>
        <strike val="0"/>
        <condense val="0"/>
        <extend val="0"/>
        <outline val="0"/>
        <shadow val="0"/>
        <u val="none"/>
        <vertAlign val="baseline"/>
        <sz val="12"/>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theme="8"/>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theme="8"/>
        </left>
        <right/>
        <top style="thin">
          <color theme="8"/>
        </top>
        <bottom/>
        <vertical/>
        <horizontal/>
      </border>
    </dxf>
    <dxf>
      <border outline="0">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0"/>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theme="8"/>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theme="8"/>
        </left>
        <right/>
        <top style="thin">
          <color theme="8"/>
        </top>
        <bottom/>
        <vertical/>
        <horizontal/>
      </border>
    </dxf>
    <dxf>
      <border outline="0">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0"/>
        <name val="Calibri"/>
        <family val="2"/>
        <scheme val="minor"/>
      </font>
      <fill>
        <patternFill patternType="none">
          <fgColor indexed="64"/>
          <bgColor indexed="65"/>
        </patternFill>
      </fill>
    </dxf>
    <dxf>
      <numFmt numFmtId="0" formatCode="General"/>
      <border diagonalUp="0" diagonalDown="0">
        <left/>
        <right style="thin">
          <color theme="4" tint="0.39997558519241921"/>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ill>
        <patternFill patternType="solid">
          <fgColor indexed="64"/>
          <bgColor rgb="FFFFFF00"/>
        </patternFill>
      </fill>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border diagonalUp="0" diagonalDown="0">
        <left style="thin">
          <color theme="8"/>
        </left>
        <right/>
        <top style="thin">
          <color theme="4" tint="0.39997558519241921"/>
        </top>
        <bottom/>
        <vertical/>
        <horizontal/>
      </border>
    </dxf>
    <dxf>
      <alignment horizontal="left" vertical="bottom" textRotation="0" wrapText="0" indent="0" justifyLastLine="0" shrinkToFit="0" readingOrder="0"/>
      <border diagonalUp="0" diagonalDown="0">
        <left style="thin">
          <color theme="8"/>
        </left>
        <right/>
        <top style="thin">
          <color theme="8"/>
        </top>
        <bottom/>
        <vertical/>
        <horizontal/>
      </border>
    </dxf>
    <dxf>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color theme="0"/>
      </font>
    </dxf>
    <dxf>
      <font>
        <color theme="0"/>
      </font>
    </dxf>
    <dxf>
      <font>
        <color theme="0"/>
      </font>
    </dxf>
    <dxf>
      <font>
        <color theme="0"/>
      </font>
    </dxf>
    <dxf>
      <font>
        <color theme="0"/>
      </font>
    </dxf>
    <dxf>
      <font>
        <color theme="0"/>
      </font>
    </dxf>
    <dxf>
      <fill>
        <patternFill patternType="solid">
          <bgColor theme="4" tint="-0.499984740745262"/>
        </patternFill>
      </fill>
    </dxf>
    <dxf>
      <numFmt numFmtId="164" formatCode="0.0"/>
    </dxf>
    <dxf>
      <font>
        <color theme="0"/>
      </font>
    </dxf>
    <dxf>
      <font>
        <color theme="0"/>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ont>
        <color theme="0"/>
      </font>
    </dxf>
    <dxf>
      <fill>
        <patternFill patternType="solid">
          <bgColor rgb="FFFFFF00"/>
        </patternFill>
      </fill>
    </dxf>
    <dxf>
      <font>
        <sz val="18"/>
      </font>
    </dxf>
    <dxf>
      <font>
        <sz val="18"/>
      </font>
    </dxf>
    <dxf>
      <font>
        <sz val="18"/>
      </font>
    </dxf>
    <dxf>
      <font>
        <color theme="0"/>
      </font>
      <border>
        <bottom style="thin">
          <color theme="4"/>
        </bottom>
        <vertical/>
        <horizontal/>
      </border>
    </dxf>
    <dxf>
      <font>
        <sz val="8"/>
        <color theme="0"/>
      </font>
      <fill>
        <patternFill>
          <bgColor theme="1"/>
        </patternFill>
      </fill>
      <border diagonalUp="0" diagonalDown="0">
        <left/>
        <right/>
        <top/>
        <bottom/>
        <vertical/>
        <horizontal/>
      </border>
    </dxf>
    <dxf>
      <font>
        <color theme="0"/>
      </font>
      <border>
        <bottom style="thin">
          <color theme="4"/>
        </bottom>
        <vertical/>
        <horizontal/>
      </border>
    </dxf>
    <dxf>
      <font>
        <sz val="8"/>
        <color theme="0"/>
      </font>
      <fill>
        <patternFill>
          <bgColor theme="1"/>
        </patternFill>
      </fill>
      <border diagonalUp="0" diagonalDown="0">
        <left/>
        <right/>
        <top/>
        <bottom/>
        <vertical/>
        <horizontal/>
      </border>
    </dxf>
    <dxf>
      <font>
        <color theme="0"/>
      </font>
      <border>
        <bottom style="thin">
          <color theme="4"/>
        </bottom>
        <vertical/>
        <horizontal/>
      </border>
    </dxf>
    <dxf>
      <font>
        <sz val="8"/>
        <color theme="0"/>
      </font>
      <fill>
        <patternFill>
          <bgColor theme="1"/>
        </patternFill>
      </fill>
      <border diagonalUp="0" diagonalDown="0">
        <left/>
        <right/>
        <top/>
        <bottom/>
        <vertical/>
        <horizontal/>
      </border>
    </dxf>
  </dxfs>
  <tableStyles count="3" defaultTableStyle="TableStyleMedium2" defaultPivotStyle="PivotStyleLight16">
    <tableStyle name="Dash" pivot="0" table="0" count="10" xr9:uid="{B817A337-B52A-41FC-A9A0-E3D80F6249FA}">
      <tableStyleElement type="wholeTable" dxfId="185"/>
      <tableStyleElement type="headerRow" dxfId="184"/>
    </tableStyle>
    <tableStyle name="Dash 2" pivot="0" table="0" count="10" xr9:uid="{F14625B2-C55F-4D78-A5F5-883A9A34BCC0}">
      <tableStyleElement type="wholeTable" dxfId="183"/>
      <tableStyleElement type="headerRow" dxfId="182"/>
    </tableStyle>
    <tableStyle name="Dash 3" pivot="0" table="0" count="10" xr9:uid="{CB331546-445D-463B-8FCD-D3DF6B026BDD}">
      <tableStyleElement type="wholeTable" dxfId="181"/>
      <tableStyleElement type="headerRow" dxfId="180"/>
    </tableStyle>
  </tableStyles>
  <colors>
    <mruColors>
      <color rgb="FF990033"/>
      <color rgb="FF6FBD8F"/>
      <color rgb="FFE39183"/>
      <color rgb="FFFF9966"/>
      <color rgb="FFF8A326"/>
      <color rgb="FF451585"/>
      <color rgb="FFD3D3D3"/>
      <color rgb="FFFFFFFF"/>
      <color rgb="FF3A3A3A"/>
      <color rgb="FF865850"/>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Dash">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Dash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Dash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[LP DATA.xlsm]AVG PER GENDER!PivotTable8</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0033"/>
          </a:solidFill>
          <a:ln>
            <a:noFill/>
          </a:ln>
          <a:effectLst/>
        </c:spPr>
      </c:pivotFmt>
      <c:pivotFmt>
        <c:idx val="3"/>
        <c:spPr>
          <a:solidFill>
            <a:schemeClr val="bg2">
              <a:lumMod val="50000"/>
            </a:schemeClr>
          </a:solidFill>
          <a:ln>
            <a:noFill/>
          </a:ln>
          <a:effectLst/>
        </c:spPr>
      </c:pivotFmt>
    </c:pivotFmts>
    <c:plotArea>
      <c:layout>
        <c:manualLayout>
          <c:layoutTarget val="inner"/>
          <c:xMode val="edge"/>
          <c:yMode val="edge"/>
          <c:x val="7.8975133580906132E-2"/>
          <c:y val="0.14091877938957562"/>
          <c:w val="0.85852905569174232"/>
          <c:h val="0.58261477667273898"/>
        </c:manualLayout>
      </c:layout>
      <c:barChart>
        <c:barDir val="bar"/>
        <c:grouping val="clustered"/>
        <c:varyColors val="0"/>
        <c:ser>
          <c:idx val="0"/>
          <c:order val="0"/>
          <c:tx>
            <c:strRef>
              <c:f>'AVG PER GENDER'!$B$3</c:f>
              <c:strCache>
                <c:ptCount val="1"/>
                <c:pt idx="0">
                  <c:v>Total</c:v>
                </c:pt>
              </c:strCache>
            </c:strRef>
          </c:tx>
          <c:spPr>
            <a:solidFill>
              <a:schemeClr val="accent1"/>
            </a:solidFill>
            <a:ln>
              <a:noFill/>
            </a:ln>
            <a:effectLst/>
          </c:spPr>
          <c:invertIfNegative val="0"/>
          <c:dPt>
            <c:idx val="0"/>
            <c:invertIfNegative val="0"/>
            <c:bubble3D val="0"/>
            <c:spPr>
              <a:solidFill>
                <a:srgbClr val="990033"/>
              </a:solidFill>
              <a:ln>
                <a:noFill/>
              </a:ln>
              <a:effectLst/>
            </c:spPr>
            <c:extLst>
              <c:ext xmlns:c16="http://schemas.microsoft.com/office/drawing/2014/chart" uri="{C3380CC4-5D6E-409C-BE32-E72D297353CC}">
                <c16:uniqueId val="{00000001-5B2A-4741-A4AD-BFD65C3716C3}"/>
              </c:ext>
            </c:extLst>
          </c:dPt>
          <c:dPt>
            <c:idx val="1"/>
            <c:invertIfNegative val="0"/>
            <c:bubble3D val="0"/>
            <c:spPr>
              <a:solidFill>
                <a:schemeClr val="bg2">
                  <a:lumMod val="50000"/>
                </a:schemeClr>
              </a:solidFill>
              <a:ln>
                <a:noFill/>
              </a:ln>
              <a:effectLst/>
            </c:spPr>
            <c:extLst>
              <c:ext xmlns:c16="http://schemas.microsoft.com/office/drawing/2014/chart" uri="{C3380CC4-5D6E-409C-BE32-E72D297353CC}">
                <c16:uniqueId val="{00000003-5B2A-4741-A4AD-BFD65C3716C3}"/>
              </c:ext>
            </c:extLst>
          </c:dPt>
          <c:cat>
            <c:strRef>
              <c:f>'AVG PER GENDER'!$A$4:$A$6</c:f>
              <c:strCache>
                <c:ptCount val="2"/>
                <c:pt idx="0">
                  <c:v>F</c:v>
                </c:pt>
                <c:pt idx="1">
                  <c:v>M</c:v>
                </c:pt>
              </c:strCache>
            </c:strRef>
          </c:cat>
          <c:val>
            <c:numRef>
              <c:f>'AVG PER GENDER'!$B$4:$B$6</c:f>
              <c:numCache>
                <c:formatCode>General</c:formatCode>
                <c:ptCount val="2"/>
                <c:pt idx="0">
                  <c:v>854.59523809523807</c:v>
                </c:pt>
                <c:pt idx="1">
                  <c:v>825.91666666666663</c:v>
                </c:pt>
              </c:numCache>
            </c:numRef>
          </c:val>
          <c:extLst>
            <c:ext xmlns:c16="http://schemas.microsoft.com/office/drawing/2014/chart" uri="{C3380CC4-5D6E-409C-BE32-E72D297353CC}">
              <c16:uniqueId val="{0000000A-9A6B-4383-89F2-12CF9E3EB253}"/>
            </c:ext>
          </c:extLst>
        </c:ser>
        <c:dLbls>
          <c:showLegendKey val="0"/>
          <c:showVal val="0"/>
          <c:showCatName val="0"/>
          <c:showSerName val="0"/>
          <c:showPercent val="0"/>
          <c:showBubbleSize val="0"/>
        </c:dLbls>
        <c:gapWidth val="182"/>
        <c:axId val="1441117279"/>
        <c:axId val="2001341823"/>
      </c:barChart>
      <c:catAx>
        <c:axId val="144111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341823"/>
        <c:crosses val="autoZero"/>
        <c:auto val="1"/>
        <c:lblAlgn val="ctr"/>
        <c:lblOffset val="100"/>
        <c:noMultiLvlLbl val="0"/>
      </c:catAx>
      <c:valAx>
        <c:axId val="2001341823"/>
        <c:scaling>
          <c:orientation val="minMax"/>
          <c:max val="1000"/>
          <c:min val="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41117279"/>
        <c:crosses val="autoZero"/>
        <c:crossBetween val="between"/>
        <c:majorUnit val="2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[LP DATA.xlsm]AVG SUB!PivotTable1</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900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3">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991694444527684E-2"/>
          <c:y val="0.20121192228548349"/>
          <c:w val="0.90155566010752874"/>
          <c:h val="0.73751283792763234"/>
        </c:manualLayout>
      </c:layout>
      <c:barChart>
        <c:barDir val="col"/>
        <c:grouping val="clustered"/>
        <c:varyColors val="0"/>
        <c:ser>
          <c:idx val="0"/>
          <c:order val="0"/>
          <c:tx>
            <c:strRef>
              <c:f>'AVG SUB'!$A$3</c:f>
              <c:strCache>
                <c:ptCount val="1"/>
                <c:pt idx="0">
                  <c:v>Average of ENGLISH</c:v>
                </c:pt>
              </c:strCache>
            </c:strRef>
          </c:tx>
          <c:spPr>
            <a:solidFill>
              <a:schemeClr val="bg1"/>
            </a:solidFill>
            <a:ln>
              <a:noFill/>
            </a:ln>
            <a:effectLst/>
          </c:spPr>
          <c:invertIfNegative val="0"/>
          <c:cat>
            <c:strRef>
              <c:f>'AVG SUB'!$A$4</c:f>
              <c:strCache>
                <c:ptCount val="1"/>
                <c:pt idx="0">
                  <c:v>Total</c:v>
                </c:pt>
              </c:strCache>
            </c:strRef>
          </c:cat>
          <c:val>
            <c:numRef>
              <c:f>'AVG SUB'!$A$4</c:f>
              <c:numCache>
                <c:formatCode>General</c:formatCode>
                <c:ptCount val="1"/>
                <c:pt idx="0">
                  <c:v>87.141025641025635</c:v>
                </c:pt>
              </c:numCache>
            </c:numRef>
          </c:val>
          <c:extLst>
            <c:ext xmlns:c16="http://schemas.microsoft.com/office/drawing/2014/chart" uri="{C3380CC4-5D6E-409C-BE32-E72D297353CC}">
              <c16:uniqueId val="{00000000-4290-4823-BB3B-E36C5635D7D2}"/>
            </c:ext>
          </c:extLst>
        </c:ser>
        <c:ser>
          <c:idx val="1"/>
          <c:order val="1"/>
          <c:tx>
            <c:strRef>
              <c:f>'AVG SUB'!$B$3</c:f>
              <c:strCache>
                <c:ptCount val="1"/>
                <c:pt idx="0">
                  <c:v>Average of OWOP</c:v>
                </c:pt>
              </c:strCache>
            </c:strRef>
          </c:tx>
          <c:spPr>
            <a:solidFill>
              <a:schemeClr val="accent2"/>
            </a:solidFill>
            <a:ln>
              <a:noFill/>
            </a:ln>
            <a:effectLst/>
          </c:spPr>
          <c:invertIfNegative val="0"/>
          <c:cat>
            <c:strRef>
              <c:f>'AVG SUB'!$A$4</c:f>
              <c:strCache>
                <c:ptCount val="1"/>
                <c:pt idx="0">
                  <c:v>Total</c:v>
                </c:pt>
              </c:strCache>
            </c:strRef>
          </c:cat>
          <c:val>
            <c:numRef>
              <c:f>'AVG SUB'!$B$4</c:f>
              <c:numCache>
                <c:formatCode>General</c:formatCode>
                <c:ptCount val="1"/>
                <c:pt idx="0">
                  <c:v>84.961538461538467</c:v>
                </c:pt>
              </c:numCache>
            </c:numRef>
          </c:val>
          <c:extLst>
            <c:ext xmlns:c16="http://schemas.microsoft.com/office/drawing/2014/chart" uri="{C3380CC4-5D6E-409C-BE32-E72D297353CC}">
              <c16:uniqueId val="{00000001-4290-4823-BB3B-E36C5635D7D2}"/>
            </c:ext>
          </c:extLst>
        </c:ser>
        <c:ser>
          <c:idx val="2"/>
          <c:order val="2"/>
          <c:tx>
            <c:strRef>
              <c:f>'AVG SUB'!$C$3</c:f>
              <c:strCache>
                <c:ptCount val="1"/>
                <c:pt idx="0">
                  <c:v>Average of SCIENCE</c:v>
                </c:pt>
              </c:strCache>
            </c:strRef>
          </c:tx>
          <c:spPr>
            <a:solidFill>
              <a:srgbClr val="990033"/>
            </a:solidFill>
            <a:ln>
              <a:noFill/>
            </a:ln>
            <a:effectLst/>
          </c:spPr>
          <c:invertIfNegative val="0"/>
          <c:cat>
            <c:strRef>
              <c:f>'AVG SUB'!$A$4</c:f>
              <c:strCache>
                <c:ptCount val="1"/>
                <c:pt idx="0">
                  <c:v>Total</c:v>
                </c:pt>
              </c:strCache>
            </c:strRef>
          </c:cat>
          <c:val>
            <c:numRef>
              <c:f>'AVG SUB'!$C$4</c:f>
              <c:numCache>
                <c:formatCode>General</c:formatCode>
                <c:ptCount val="1"/>
                <c:pt idx="0">
                  <c:v>85.15384615384616</c:v>
                </c:pt>
              </c:numCache>
            </c:numRef>
          </c:val>
          <c:extLst>
            <c:ext xmlns:c16="http://schemas.microsoft.com/office/drawing/2014/chart" uri="{C3380CC4-5D6E-409C-BE32-E72D297353CC}">
              <c16:uniqueId val="{00000002-4290-4823-BB3B-E36C5635D7D2}"/>
            </c:ext>
          </c:extLst>
        </c:ser>
        <c:ser>
          <c:idx val="3"/>
          <c:order val="3"/>
          <c:tx>
            <c:strRef>
              <c:f>'AVG SUB'!$D$3</c:f>
              <c:strCache>
                <c:ptCount val="1"/>
                <c:pt idx="0">
                  <c:v>Average of MATH</c:v>
                </c:pt>
              </c:strCache>
            </c:strRef>
          </c:tx>
          <c:spPr>
            <a:solidFill>
              <a:schemeClr val="accent4"/>
            </a:solidFill>
            <a:ln>
              <a:noFill/>
            </a:ln>
            <a:effectLst/>
          </c:spPr>
          <c:invertIfNegative val="0"/>
          <c:cat>
            <c:strRef>
              <c:f>'AVG SUB'!$A$4</c:f>
              <c:strCache>
                <c:ptCount val="1"/>
                <c:pt idx="0">
                  <c:v>Total</c:v>
                </c:pt>
              </c:strCache>
            </c:strRef>
          </c:cat>
          <c:val>
            <c:numRef>
              <c:f>'AVG SUB'!$D$4</c:f>
              <c:numCache>
                <c:formatCode>General</c:formatCode>
                <c:ptCount val="1"/>
                <c:pt idx="0">
                  <c:v>85.384615384615387</c:v>
                </c:pt>
              </c:numCache>
            </c:numRef>
          </c:val>
          <c:extLst>
            <c:ext xmlns:c16="http://schemas.microsoft.com/office/drawing/2014/chart" uri="{C3380CC4-5D6E-409C-BE32-E72D297353CC}">
              <c16:uniqueId val="{00000003-4290-4823-BB3B-E36C5635D7D2}"/>
            </c:ext>
          </c:extLst>
        </c:ser>
        <c:ser>
          <c:idx val="4"/>
          <c:order val="4"/>
          <c:tx>
            <c:strRef>
              <c:f>'AVG SUB'!$E$3</c:f>
              <c:strCache>
                <c:ptCount val="1"/>
                <c:pt idx="0">
                  <c:v>Average of RME </c:v>
                </c:pt>
              </c:strCache>
            </c:strRef>
          </c:tx>
          <c:spPr>
            <a:solidFill>
              <a:srgbClr val="FFFF00"/>
            </a:solidFill>
            <a:ln>
              <a:noFill/>
            </a:ln>
            <a:effectLst/>
          </c:spPr>
          <c:invertIfNegative val="0"/>
          <c:cat>
            <c:strRef>
              <c:f>'AVG SUB'!$A$4</c:f>
              <c:strCache>
                <c:ptCount val="1"/>
                <c:pt idx="0">
                  <c:v>Total</c:v>
                </c:pt>
              </c:strCache>
            </c:strRef>
          </c:cat>
          <c:val>
            <c:numRef>
              <c:f>'AVG SUB'!$E$4</c:f>
              <c:numCache>
                <c:formatCode>General</c:formatCode>
                <c:ptCount val="1"/>
                <c:pt idx="0">
                  <c:v>87.080769230769207</c:v>
                </c:pt>
              </c:numCache>
            </c:numRef>
          </c:val>
          <c:extLst>
            <c:ext xmlns:c16="http://schemas.microsoft.com/office/drawing/2014/chart" uri="{C3380CC4-5D6E-409C-BE32-E72D297353CC}">
              <c16:uniqueId val="{00000004-4290-4823-BB3B-E36C5635D7D2}"/>
            </c:ext>
          </c:extLst>
        </c:ser>
        <c:ser>
          <c:idx val="5"/>
          <c:order val="5"/>
          <c:tx>
            <c:strRef>
              <c:f>'AVG SUB'!$F$3</c:f>
              <c:strCache>
                <c:ptCount val="1"/>
                <c:pt idx="0">
                  <c:v>Average of COMPUTING</c:v>
                </c:pt>
              </c:strCache>
            </c:strRef>
          </c:tx>
          <c:spPr>
            <a:solidFill>
              <a:schemeClr val="accent6"/>
            </a:solidFill>
            <a:ln>
              <a:noFill/>
            </a:ln>
            <a:effectLst/>
          </c:spPr>
          <c:invertIfNegative val="0"/>
          <c:cat>
            <c:strRef>
              <c:f>'AVG SUB'!$A$4</c:f>
              <c:strCache>
                <c:ptCount val="1"/>
                <c:pt idx="0">
                  <c:v>Total</c:v>
                </c:pt>
              </c:strCache>
            </c:strRef>
          </c:cat>
          <c:val>
            <c:numRef>
              <c:f>'AVG SUB'!$F$4</c:f>
              <c:numCache>
                <c:formatCode>General</c:formatCode>
                <c:ptCount val="1"/>
                <c:pt idx="0">
                  <c:v>79.230769230769226</c:v>
                </c:pt>
              </c:numCache>
            </c:numRef>
          </c:val>
          <c:extLst>
            <c:ext xmlns:c16="http://schemas.microsoft.com/office/drawing/2014/chart" uri="{C3380CC4-5D6E-409C-BE32-E72D297353CC}">
              <c16:uniqueId val="{00000005-4290-4823-BB3B-E36C5635D7D2}"/>
            </c:ext>
          </c:extLst>
        </c:ser>
        <c:ser>
          <c:idx val="6"/>
          <c:order val="6"/>
          <c:tx>
            <c:strRef>
              <c:f>'AVG SUB'!$G$3</c:f>
              <c:strCache>
                <c:ptCount val="1"/>
                <c:pt idx="0">
                  <c:v>Average of FRENCH</c:v>
                </c:pt>
              </c:strCache>
            </c:strRef>
          </c:tx>
          <c:spPr>
            <a:solidFill>
              <a:schemeClr val="accent1">
                <a:lumMod val="60000"/>
              </a:schemeClr>
            </a:solidFill>
            <a:ln>
              <a:noFill/>
            </a:ln>
            <a:effectLst/>
          </c:spPr>
          <c:invertIfNegative val="0"/>
          <c:cat>
            <c:strRef>
              <c:f>'AVG SUB'!$A$4</c:f>
              <c:strCache>
                <c:ptCount val="1"/>
                <c:pt idx="0">
                  <c:v>Total</c:v>
                </c:pt>
              </c:strCache>
            </c:strRef>
          </c:cat>
          <c:val>
            <c:numRef>
              <c:f>'AVG SUB'!$G$4</c:f>
              <c:numCache>
                <c:formatCode>General</c:formatCode>
                <c:ptCount val="1"/>
                <c:pt idx="0">
                  <c:v>85.817948717948724</c:v>
                </c:pt>
              </c:numCache>
            </c:numRef>
          </c:val>
          <c:extLst>
            <c:ext xmlns:c16="http://schemas.microsoft.com/office/drawing/2014/chart" uri="{C3380CC4-5D6E-409C-BE32-E72D297353CC}">
              <c16:uniqueId val="{00000006-4290-4823-BB3B-E36C5635D7D2}"/>
            </c:ext>
          </c:extLst>
        </c:ser>
        <c:ser>
          <c:idx val="7"/>
          <c:order val="7"/>
          <c:tx>
            <c:strRef>
              <c:f>'AVG SUB'!$H$3</c:f>
              <c:strCache>
                <c:ptCount val="1"/>
                <c:pt idx="0">
                  <c:v>Average of HISTORY</c:v>
                </c:pt>
              </c:strCache>
            </c:strRef>
          </c:tx>
          <c:spPr>
            <a:solidFill>
              <a:srgbClr val="7030A0"/>
            </a:solidFill>
            <a:ln>
              <a:noFill/>
            </a:ln>
            <a:effectLst/>
          </c:spPr>
          <c:invertIfNegative val="0"/>
          <c:cat>
            <c:strRef>
              <c:f>'AVG SUB'!$A$4</c:f>
              <c:strCache>
                <c:ptCount val="1"/>
                <c:pt idx="0">
                  <c:v>Total</c:v>
                </c:pt>
              </c:strCache>
            </c:strRef>
          </c:cat>
          <c:val>
            <c:numRef>
              <c:f>'AVG SUB'!$H$4</c:f>
              <c:numCache>
                <c:formatCode>General</c:formatCode>
                <c:ptCount val="1"/>
                <c:pt idx="0">
                  <c:v>83.025641025641022</c:v>
                </c:pt>
              </c:numCache>
            </c:numRef>
          </c:val>
          <c:extLst>
            <c:ext xmlns:c16="http://schemas.microsoft.com/office/drawing/2014/chart" uri="{C3380CC4-5D6E-409C-BE32-E72D297353CC}">
              <c16:uniqueId val="{00000007-4290-4823-BB3B-E36C5635D7D2}"/>
            </c:ext>
          </c:extLst>
        </c:ser>
        <c:ser>
          <c:idx val="8"/>
          <c:order val="8"/>
          <c:tx>
            <c:strRef>
              <c:f>'AVG SUB'!$I$3</c:f>
              <c:strCache>
                <c:ptCount val="1"/>
                <c:pt idx="0">
                  <c:v>Average of TWI</c:v>
                </c:pt>
              </c:strCache>
            </c:strRef>
          </c:tx>
          <c:spPr>
            <a:solidFill>
              <a:schemeClr val="accent3">
                <a:lumMod val="60000"/>
              </a:schemeClr>
            </a:solidFill>
            <a:ln>
              <a:noFill/>
            </a:ln>
            <a:effectLst/>
          </c:spPr>
          <c:invertIfNegative val="0"/>
          <c:cat>
            <c:strRef>
              <c:f>'AVG SUB'!$A$4</c:f>
              <c:strCache>
                <c:ptCount val="1"/>
                <c:pt idx="0">
                  <c:v>Total</c:v>
                </c:pt>
              </c:strCache>
            </c:strRef>
          </c:cat>
          <c:val>
            <c:numRef>
              <c:f>'AVG SUB'!$I$4</c:f>
              <c:numCache>
                <c:formatCode>General</c:formatCode>
                <c:ptCount val="1"/>
                <c:pt idx="0">
                  <c:v>79.492307692307662</c:v>
                </c:pt>
              </c:numCache>
            </c:numRef>
          </c:val>
          <c:extLst>
            <c:ext xmlns:c16="http://schemas.microsoft.com/office/drawing/2014/chart" uri="{C3380CC4-5D6E-409C-BE32-E72D297353CC}">
              <c16:uniqueId val="{00000008-4290-4823-BB3B-E36C5635D7D2}"/>
            </c:ext>
          </c:extLst>
        </c:ser>
        <c:ser>
          <c:idx val="9"/>
          <c:order val="9"/>
          <c:tx>
            <c:strRef>
              <c:f>'AVG SUB'!$J$3</c:f>
              <c:strCache>
                <c:ptCount val="1"/>
                <c:pt idx="0">
                  <c:v>Average of CA</c:v>
                </c:pt>
              </c:strCache>
            </c:strRef>
          </c:tx>
          <c:spPr>
            <a:solidFill>
              <a:schemeClr val="accent3">
                <a:lumMod val="20000"/>
                <a:lumOff val="80000"/>
              </a:schemeClr>
            </a:solidFill>
            <a:ln>
              <a:noFill/>
            </a:ln>
            <a:effectLst/>
          </c:spPr>
          <c:invertIfNegative val="0"/>
          <c:cat>
            <c:strRef>
              <c:f>'AVG SUB'!$A$4</c:f>
              <c:strCache>
                <c:ptCount val="1"/>
                <c:pt idx="0">
                  <c:v>Total</c:v>
                </c:pt>
              </c:strCache>
            </c:strRef>
          </c:cat>
          <c:val>
            <c:numRef>
              <c:f>'AVG SUB'!$J$4</c:f>
              <c:numCache>
                <c:formatCode>General</c:formatCode>
                <c:ptCount val="1"/>
                <c:pt idx="0">
                  <c:v>84.011538461538521</c:v>
                </c:pt>
              </c:numCache>
            </c:numRef>
          </c:val>
          <c:extLst>
            <c:ext xmlns:c16="http://schemas.microsoft.com/office/drawing/2014/chart" uri="{C3380CC4-5D6E-409C-BE32-E72D297353CC}">
              <c16:uniqueId val="{00000009-4290-4823-BB3B-E36C5635D7D2}"/>
            </c:ext>
          </c:extLst>
        </c:ser>
        <c:dLbls>
          <c:showLegendKey val="0"/>
          <c:showVal val="0"/>
          <c:showCatName val="0"/>
          <c:showSerName val="0"/>
          <c:showPercent val="0"/>
          <c:showBubbleSize val="0"/>
        </c:dLbls>
        <c:gapWidth val="58"/>
        <c:overlap val="-69"/>
        <c:axId val="348407936"/>
        <c:axId val="348394976"/>
      </c:barChart>
      <c:catAx>
        <c:axId val="348407936"/>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bg1"/>
                    </a:solidFill>
                  </a:rPr>
                  <a:t>SUBJECTS</a:t>
                </a:r>
              </a:p>
            </c:rich>
          </c:tx>
          <c:layout>
            <c:manualLayout>
              <c:xMode val="edge"/>
              <c:yMode val="edge"/>
              <c:x val="0.46363060742129913"/>
              <c:y val="0.938724885277767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348394976"/>
        <c:crosses val="autoZero"/>
        <c:auto val="1"/>
        <c:lblAlgn val="ctr"/>
        <c:lblOffset val="100"/>
        <c:noMultiLvlLbl val="0"/>
      </c:catAx>
      <c:valAx>
        <c:axId val="348394976"/>
        <c:scaling>
          <c:orientation val="minMax"/>
          <c:min val="0"/>
        </c:scaling>
        <c:delete val="0"/>
        <c:axPos val="l"/>
        <c:majorGridlines>
          <c:spPr>
            <a:ln w="9525" cap="flat" cmpd="sng" algn="ctr">
              <a:solidFill>
                <a:schemeClr val="bg1">
                  <a:alpha val="26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bg1"/>
                    </a:solidFill>
                  </a:rPr>
                  <a:t>AVG</a:t>
                </a:r>
                <a:r>
                  <a:rPr lang="en-US" baseline="0">
                    <a:solidFill>
                      <a:schemeClr val="bg1"/>
                    </a:solidFill>
                  </a:rPr>
                  <a:t> SCORE</a:t>
                </a:r>
                <a:endParaRPr lang="en-US">
                  <a:solidFill>
                    <a:schemeClr val="bg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8407936"/>
        <c:crosses val="autoZero"/>
        <c:crossBetween val="between"/>
        <c:majorUnit val="20"/>
      </c:valAx>
      <c:spPr>
        <a:noFill/>
        <a:ln>
          <a:noFill/>
        </a:ln>
        <a:effectLst/>
      </c:spPr>
    </c:plotArea>
    <c:legend>
      <c:legendPos val="t"/>
      <c:legendEntry>
        <c:idx val="5"/>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Entry>
      <c:layout>
        <c:manualLayout>
          <c:xMode val="edge"/>
          <c:yMode val="edge"/>
          <c:x val="3.6288025369502992E-2"/>
          <c:y val="2.8859602578275991E-2"/>
          <c:w val="0.95326393612873339"/>
          <c:h val="0.1700700061303592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[LP DATA.xlsm]PASS RATE!PivotTable6</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39183">
              <a:alpha val="44706"/>
            </a:srgbClr>
          </a:solidFill>
          <a:ln w="9525" cap="flat" cmpd="sng" algn="ctr">
            <a:solidFill>
              <a:schemeClr val="tx1">
                <a:lumMod val="15000"/>
                <a:lumOff val="85000"/>
                <a:alpha val="48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6FBD8F">
              <a:alpha val="50196"/>
            </a:srgb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74980351945702E-2"/>
          <c:y val="0.13356769805413499"/>
          <c:w val="0.88605976173199164"/>
          <c:h val="0.75145238845144369"/>
        </c:manualLayout>
      </c:layout>
      <c:barChart>
        <c:barDir val="bar"/>
        <c:grouping val="clustered"/>
        <c:varyColors val="0"/>
        <c:ser>
          <c:idx val="0"/>
          <c:order val="0"/>
          <c:tx>
            <c:strRef>
              <c:f>'PASS RATE'!$B$3:$B$4</c:f>
              <c:strCache>
                <c:ptCount val="1"/>
                <c:pt idx="0">
                  <c:v>FAIL</c:v>
                </c:pt>
              </c:strCache>
            </c:strRef>
          </c:tx>
          <c:spPr>
            <a:solidFill>
              <a:srgbClr val="E39183">
                <a:alpha val="44706"/>
              </a:srgbClr>
            </a:solidFill>
            <a:ln w="9525" cap="flat" cmpd="sng" algn="ctr">
              <a:solidFill>
                <a:schemeClr val="tx1">
                  <a:lumMod val="15000"/>
                  <a:lumOff val="85000"/>
                  <a:alpha val="48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'PASS RATE'!$A$5:$A$7</c:f>
              <c:strCache>
                <c:ptCount val="2"/>
                <c:pt idx="0">
                  <c:v>F</c:v>
                </c:pt>
                <c:pt idx="1">
                  <c:v>M</c:v>
                </c:pt>
              </c:strCache>
            </c:strRef>
          </c:cat>
          <c:val>
            <c:numRef>
              <c:f>'PASS RATE'!$B$5:$B$7</c:f>
              <c:numCache>
                <c:formatCode>0.00%</c:formatCode>
                <c:ptCount val="2"/>
                <c:pt idx="0">
                  <c:v>1.8917337642437245E-2</c:v>
                </c:pt>
                <c:pt idx="1">
                  <c:v>4.5336831130393836E-2</c:v>
                </c:pt>
              </c:numCache>
            </c:numRef>
          </c:val>
          <c:extLst>
            <c:ext xmlns:c16="http://schemas.microsoft.com/office/drawing/2014/chart" uri="{C3380CC4-5D6E-409C-BE32-E72D297353CC}">
              <c16:uniqueId val="{00000000-7516-442C-87CC-0B7A00C67F77}"/>
            </c:ext>
          </c:extLst>
        </c:ser>
        <c:ser>
          <c:idx val="1"/>
          <c:order val="1"/>
          <c:tx>
            <c:strRef>
              <c:f>'PASS RATE'!$C$3:$C$4</c:f>
              <c:strCache>
                <c:ptCount val="1"/>
                <c:pt idx="0">
                  <c:v>PASS</c:v>
                </c:pt>
              </c:strCache>
            </c:strRef>
          </c:tx>
          <c:spPr>
            <a:solidFill>
              <a:srgbClr val="6FBD8F">
                <a:alpha val="50196"/>
              </a:srgb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'PASS RATE'!$A$5:$A$7</c:f>
              <c:strCache>
                <c:ptCount val="2"/>
                <c:pt idx="0">
                  <c:v>F</c:v>
                </c:pt>
                <c:pt idx="1">
                  <c:v>M</c:v>
                </c:pt>
              </c:strCache>
            </c:strRef>
          </c:cat>
          <c:val>
            <c:numRef>
              <c:f>'PASS RATE'!$C$5:$C$7</c:f>
              <c:numCache>
                <c:formatCode>0.00%</c:formatCode>
                <c:ptCount val="2"/>
                <c:pt idx="0">
                  <c:v>0.98108266235756281</c:v>
                </c:pt>
                <c:pt idx="1">
                  <c:v>0.95466316886960612</c:v>
                </c:pt>
              </c:numCache>
            </c:numRef>
          </c:val>
          <c:extLst>
            <c:ext xmlns:c16="http://schemas.microsoft.com/office/drawing/2014/chart" uri="{C3380CC4-5D6E-409C-BE32-E72D297353CC}">
              <c16:uniqueId val="{00000003-3104-4007-ABF0-C134B002A51E}"/>
            </c:ext>
          </c:extLst>
        </c:ser>
        <c:dLbls>
          <c:dLblPos val="inEnd"/>
          <c:showLegendKey val="0"/>
          <c:showVal val="1"/>
          <c:showCatName val="0"/>
          <c:showSerName val="0"/>
          <c:showPercent val="0"/>
          <c:showBubbleSize val="0"/>
        </c:dLbls>
        <c:gapWidth val="65"/>
        <c:overlap val="-30"/>
        <c:axId val="440111744"/>
        <c:axId val="440131904"/>
      </c:barChart>
      <c:catAx>
        <c:axId val="440111744"/>
        <c:scaling>
          <c:orientation val="minMax"/>
        </c:scaling>
        <c:delete val="0"/>
        <c:axPos val="l"/>
        <c:numFmt formatCode="General" sourceLinked="1"/>
        <c:majorTickMark val="none"/>
        <c:minorTickMark val="none"/>
        <c:tickLblPos val="nextTo"/>
        <c:spPr>
          <a:noFill/>
          <a:ln w="19050" cap="flat" cmpd="sng" algn="ctr">
            <a:solidFill>
              <a:schemeClr val="bg1"/>
            </a:solidFill>
            <a:round/>
          </a:ln>
          <a:effectLst/>
        </c:spPr>
        <c:txPr>
          <a:bodyPr rot="-60000000" spcFirstLastPara="1" vertOverflow="ellipsis" vert="horz" wrap="square" anchor="ctr" anchorCtr="1"/>
          <a:lstStyle/>
          <a:p>
            <a:pPr>
              <a:defRPr sz="900" b="0" i="0" u="none" strike="noStrike" kern="1200" cap="all" baseline="0">
                <a:ln>
                  <a:solidFill>
                    <a:schemeClr val="bg1"/>
                  </a:solidFill>
                </a:ln>
                <a:solidFill>
                  <a:schemeClr val="bg1"/>
                </a:solidFill>
                <a:latin typeface="+mn-lt"/>
                <a:ea typeface="+mn-ea"/>
                <a:cs typeface="+mn-cs"/>
              </a:defRPr>
            </a:pPr>
            <a:endParaRPr lang="en-US"/>
          </a:p>
        </c:txPr>
        <c:crossAx val="440131904"/>
        <c:crossesAt val="0"/>
        <c:auto val="1"/>
        <c:lblAlgn val="ctr"/>
        <c:lblOffset val="100"/>
        <c:noMultiLvlLbl val="0"/>
      </c:catAx>
      <c:valAx>
        <c:axId val="440131904"/>
        <c:scaling>
          <c:orientation val="minMax"/>
          <c:max val="1"/>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40111744"/>
        <c:crosses val="autoZero"/>
        <c:crossBetween val="between"/>
      </c:valAx>
      <c:spPr>
        <a:noFill/>
        <a:ln>
          <a:noFill/>
        </a:ln>
        <a:effectLst/>
      </c:spPr>
    </c:plotArea>
    <c:legend>
      <c:legendPos val="t"/>
      <c:layout>
        <c:manualLayout>
          <c:xMode val="edge"/>
          <c:yMode val="edge"/>
          <c:x val="0.42376072830917294"/>
          <c:y val="0"/>
          <c:w val="0.20818196076340981"/>
          <c:h val="9.908503742608407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[LP DATA.xlsm]MAX MIN!PivotTable25</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68506701370914"/>
          <c:y val="0.12078432864404244"/>
          <c:w val="0.76764280427094467"/>
          <c:h val="0.69344167551521885"/>
        </c:manualLayout>
      </c:layout>
      <c:barChart>
        <c:barDir val="bar"/>
        <c:grouping val="clustered"/>
        <c:varyColors val="0"/>
        <c:ser>
          <c:idx val="0"/>
          <c:order val="0"/>
          <c:tx>
            <c:strRef>
              <c:f>'MAX MIN'!$A$3</c:f>
              <c:strCache>
                <c:ptCount val="1"/>
                <c:pt idx="0">
                  <c:v>Max score</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cat>
            <c:strRef>
              <c:f>'MAX MIN'!$A$4</c:f>
              <c:strCache>
                <c:ptCount val="1"/>
                <c:pt idx="0">
                  <c:v>Total</c:v>
                </c:pt>
              </c:strCache>
            </c:strRef>
          </c:cat>
          <c:val>
            <c:numRef>
              <c:f>'MAX MIN'!$A$4</c:f>
              <c:numCache>
                <c:formatCode>General</c:formatCode>
                <c:ptCount val="1"/>
                <c:pt idx="0">
                  <c:v>965</c:v>
                </c:pt>
              </c:numCache>
            </c:numRef>
          </c:val>
          <c:extLst>
            <c:ext xmlns:c16="http://schemas.microsoft.com/office/drawing/2014/chart" uri="{C3380CC4-5D6E-409C-BE32-E72D297353CC}">
              <c16:uniqueId val="{0000000B-CD37-4442-9C57-1094441CF776}"/>
            </c:ext>
          </c:extLst>
        </c:ser>
        <c:ser>
          <c:idx val="1"/>
          <c:order val="1"/>
          <c:tx>
            <c:strRef>
              <c:f>'MAX MIN'!$B$3</c:f>
              <c:strCache>
                <c:ptCount val="1"/>
                <c:pt idx="0">
                  <c:v>Min score</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cat>
            <c:strRef>
              <c:f>'MAX MIN'!$A$4</c:f>
              <c:strCache>
                <c:ptCount val="1"/>
                <c:pt idx="0">
                  <c:v>Total</c:v>
                </c:pt>
              </c:strCache>
            </c:strRef>
          </c:cat>
          <c:val>
            <c:numRef>
              <c:f>'MAX MIN'!$B$4</c:f>
              <c:numCache>
                <c:formatCode>General</c:formatCode>
                <c:ptCount val="1"/>
                <c:pt idx="0">
                  <c:v>658</c:v>
                </c:pt>
              </c:numCache>
            </c:numRef>
          </c:val>
          <c:extLst>
            <c:ext xmlns:c16="http://schemas.microsoft.com/office/drawing/2014/chart" uri="{C3380CC4-5D6E-409C-BE32-E72D297353CC}">
              <c16:uniqueId val="{0000000C-CD37-4442-9C57-1094441CF776}"/>
            </c:ext>
          </c:extLst>
        </c:ser>
        <c:dLbls>
          <c:showLegendKey val="0"/>
          <c:showVal val="0"/>
          <c:showCatName val="0"/>
          <c:showSerName val="0"/>
          <c:showPercent val="0"/>
          <c:showBubbleSize val="0"/>
        </c:dLbls>
        <c:gapWidth val="307"/>
        <c:overlap val="-100"/>
        <c:axId val="1382551648"/>
        <c:axId val="1382552608"/>
      </c:barChart>
      <c:catAx>
        <c:axId val="1382551648"/>
        <c:scaling>
          <c:orientation val="minMax"/>
        </c:scaling>
        <c:delete val="1"/>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SCORE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382552608"/>
        <c:crosses val="autoZero"/>
        <c:auto val="1"/>
        <c:lblAlgn val="ctr"/>
        <c:lblOffset val="100"/>
        <c:noMultiLvlLbl val="0"/>
      </c:catAx>
      <c:valAx>
        <c:axId val="1382552608"/>
        <c:scaling>
          <c:orientation val="minMax"/>
          <c:max val="1000"/>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8255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[LP DATA.xlsm]CLASS COMPO!PivotTable1</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dLbl>
          <c:idx val="0"/>
          <c:layout>
            <c:manualLayout>
              <c:x val="-4.8129534966885733E-2"/>
              <c:y val="-5.995093744720948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rgbClr val="990033"/>
          </a:solidFill>
          <a:ln>
            <a:noFill/>
          </a:ln>
          <a:effectLst/>
        </c:spPr>
        <c:dLbl>
          <c:idx val="0"/>
          <c:layout>
            <c:manualLayout>
              <c:x val="3.147889474285407E-2"/>
              <c:y val="0.1382136224630389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4814201193581375"/>
          <c:y val="4.3278581831179025E-2"/>
          <c:w val="0.68922053889314017"/>
          <c:h val="0.94317135495297488"/>
        </c:manualLayout>
      </c:layout>
      <c:pieChart>
        <c:varyColors val="1"/>
        <c:ser>
          <c:idx val="0"/>
          <c:order val="0"/>
          <c:tx>
            <c:strRef>
              <c:f>'CLASS COMPO'!$B$3</c:f>
              <c:strCache>
                <c:ptCount val="1"/>
                <c:pt idx="0">
                  <c:v>Total</c:v>
                </c:pt>
              </c:strCache>
            </c:strRef>
          </c:tx>
          <c:spPr>
            <a:solidFill>
              <a:schemeClr val="accent4">
                <a:lumMod val="60000"/>
                <a:lumOff val="40000"/>
              </a:schemeClr>
            </a:solidFill>
          </c:spPr>
          <c:dPt>
            <c:idx val="0"/>
            <c:bubble3D val="0"/>
            <c:spPr>
              <a:solidFill>
                <a:srgbClr val="990033"/>
              </a:solidFill>
              <a:ln>
                <a:noFill/>
              </a:ln>
              <a:effectLst/>
            </c:spPr>
            <c:extLst>
              <c:ext xmlns:c16="http://schemas.microsoft.com/office/drawing/2014/chart" uri="{C3380CC4-5D6E-409C-BE32-E72D297353CC}">
                <c16:uniqueId val="{00000001-8878-4CF2-9DD4-9E0F8600A3B2}"/>
              </c:ext>
            </c:extLst>
          </c:dPt>
          <c:dPt>
            <c:idx val="1"/>
            <c:bubble3D val="0"/>
            <c:spPr>
              <a:solidFill>
                <a:schemeClr val="accent1">
                  <a:lumMod val="75000"/>
                </a:schemeClr>
              </a:solidFill>
              <a:ln>
                <a:noFill/>
              </a:ln>
              <a:effectLst/>
            </c:spPr>
            <c:extLst>
              <c:ext xmlns:c16="http://schemas.microsoft.com/office/drawing/2014/chart" uri="{C3380CC4-5D6E-409C-BE32-E72D297353CC}">
                <c16:uniqueId val="{00000003-8878-4CF2-9DD4-9E0F8600A3B2}"/>
              </c:ext>
            </c:extLst>
          </c:dPt>
          <c:dLbls>
            <c:dLbl>
              <c:idx val="0"/>
              <c:layout>
                <c:manualLayout>
                  <c:x val="3.147889474285407E-2"/>
                  <c:y val="0.1382136224630389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78-4CF2-9DD4-9E0F8600A3B2}"/>
                </c:ext>
              </c:extLst>
            </c:dLbl>
            <c:dLbl>
              <c:idx val="1"/>
              <c:layout>
                <c:manualLayout>
                  <c:x val="-4.8129534966885733E-2"/>
                  <c:y val="-5.995093744720948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878-4CF2-9DD4-9E0F8600A3B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'CLASS COMPO'!$A$4:$A$6</c:f>
              <c:strCache>
                <c:ptCount val="2"/>
                <c:pt idx="0">
                  <c:v>F</c:v>
                </c:pt>
                <c:pt idx="1">
                  <c:v>M</c:v>
                </c:pt>
              </c:strCache>
            </c:strRef>
          </c:cat>
          <c:val>
            <c:numRef>
              <c:f>'CLASS COMPO'!$B$4:$B$6</c:f>
              <c:numCache>
                <c:formatCode>0.00%</c:formatCode>
                <c:ptCount val="2"/>
                <c:pt idx="0">
                  <c:v>0.53846153846153844</c:v>
                </c:pt>
                <c:pt idx="1">
                  <c:v>0.46153846153846156</c:v>
                </c:pt>
              </c:numCache>
            </c:numRef>
          </c:val>
          <c:extLst>
            <c:ext xmlns:c16="http://schemas.microsoft.com/office/drawing/2014/chart" uri="{C3380CC4-5D6E-409C-BE32-E72D297353CC}">
              <c16:uniqueId val="{00000009-90C1-41F1-8DCC-9F30A91E7F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78797729759962"/>
          <c:y val="6.9878825015318821E-2"/>
          <c:w val="0.84369465885444894"/>
          <c:h val="0.77657956728347832"/>
        </c:manualLayout>
      </c:layout>
      <c:scatterChart>
        <c:scatterStyle val="lineMarker"/>
        <c:varyColors val="0"/>
        <c:ser>
          <c:idx val="0"/>
          <c:order val="0"/>
          <c:spPr>
            <a:ln w="19050" cap="rnd">
              <a:noFill/>
              <a:round/>
            </a:ln>
            <a:effectLst/>
          </c:spPr>
          <c:marker>
            <c:symbol val="circle"/>
            <c:size val="5"/>
            <c:spPr>
              <a:no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DATA!$P$3:$P$80</c:f>
              <c:numCache>
                <c:formatCode>General</c:formatCode>
                <c:ptCount val="78"/>
                <c:pt idx="0">
                  <c:v>93</c:v>
                </c:pt>
                <c:pt idx="1">
                  <c:v>82</c:v>
                </c:pt>
                <c:pt idx="2">
                  <c:v>86</c:v>
                </c:pt>
                <c:pt idx="3">
                  <c:v>85</c:v>
                </c:pt>
                <c:pt idx="4">
                  <c:v>82</c:v>
                </c:pt>
                <c:pt idx="5">
                  <c:v>91</c:v>
                </c:pt>
                <c:pt idx="6">
                  <c:v>93</c:v>
                </c:pt>
                <c:pt idx="7">
                  <c:v>84</c:v>
                </c:pt>
                <c:pt idx="8">
                  <c:v>90</c:v>
                </c:pt>
                <c:pt idx="9">
                  <c:v>80</c:v>
                </c:pt>
                <c:pt idx="10">
                  <c:v>73</c:v>
                </c:pt>
                <c:pt idx="11">
                  <c:v>88</c:v>
                </c:pt>
                <c:pt idx="12">
                  <c:v>87</c:v>
                </c:pt>
                <c:pt idx="13">
                  <c:v>86</c:v>
                </c:pt>
                <c:pt idx="14">
                  <c:v>78</c:v>
                </c:pt>
                <c:pt idx="15">
                  <c:v>76</c:v>
                </c:pt>
                <c:pt idx="16">
                  <c:v>82</c:v>
                </c:pt>
                <c:pt idx="17">
                  <c:v>86</c:v>
                </c:pt>
                <c:pt idx="18">
                  <c:v>93</c:v>
                </c:pt>
                <c:pt idx="19">
                  <c:v>77</c:v>
                </c:pt>
                <c:pt idx="20">
                  <c:v>73</c:v>
                </c:pt>
                <c:pt idx="21">
                  <c:v>88</c:v>
                </c:pt>
                <c:pt idx="22">
                  <c:v>79</c:v>
                </c:pt>
                <c:pt idx="23">
                  <c:v>94</c:v>
                </c:pt>
                <c:pt idx="24">
                  <c:v>85</c:v>
                </c:pt>
                <c:pt idx="25">
                  <c:v>80</c:v>
                </c:pt>
                <c:pt idx="26">
                  <c:v>81</c:v>
                </c:pt>
                <c:pt idx="27">
                  <c:v>72</c:v>
                </c:pt>
                <c:pt idx="28">
                  <c:v>76</c:v>
                </c:pt>
                <c:pt idx="29">
                  <c:v>79</c:v>
                </c:pt>
                <c:pt idx="30">
                  <c:v>86</c:v>
                </c:pt>
                <c:pt idx="31">
                  <c:v>87</c:v>
                </c:pt>
                <c:pt idx="32">
                  <c:v>84</c:v>
                </c:pt>
                <c:pt idx="33">
                  <c:v>91</c:v>
                </c:pt>
                <c:pt idx="34">
                  <c:v>85</c:v>
                </c:pt>
                <c:pt idx="35">
                  <c:v>83</c:v>
                </c:pt>
                <c:pt idx="36">
                  <c:v>81</c:v>
                </c:pt>
                <c:pt idx="37">
                  <c:v>92</c:v>
                </c:pt>
                <c:pt idx="38">
                  <c:v>83</c:v>
                </c:pt>
                <c:pt idx="39">
                  <c:v>93</c:v>
                </c:pt>
                <c:pt idx="40">
                  <c:v>90</c:v>
                </c:pt>
                <c:pt idx="41">
                  <c:v>92</c:v>
                </c:pt>
                <c:pt idx="42">
                  <c:v>85</c:v>
                </c:pt>
                <c:pt idx="43">
                  <c:v>85</c:v>
                </c:pt>
                <c:pt idx="44">
                  <c:v>72</c:v>
                </c:pt>
                <c:pt idx="45">
                  <c:v>87</c:v>
                </c:pt>
                <c:pt idx="46">
                  <c:v>92</c:v>
                </c:pt>
                <c:pt idx="47">
                  <c:v>87</c:v>
                </c:pt>
                <c:pt idx="48">
                  <c:v>91</c:v>
                </c:pt>
                <c:pt idx="49">
                  <c:v>78</c:v>
                </c:pt>
                <c:pt idx="50">
                  <c:v>88</c:v>
                </c:pt>
                <c:pt idx="51">
                  <c:v>87</c:v>
                </c:pt>
                <c:pt idx="52">
                  <c:v>66</c:v>
                </c:pt>
                <c:pt idx="53">
                  <c:v>91</c:v>
                </c:pt>
                <c:pt idx="54">
                  <c:v>94</c:v>
                </c:pt>
                <c:pt idx="55">
                  <c:v>74</c:v>
                </c:pt>
                <c:pt idx="56">
                  <c:v>92</c:v>
                </c:pt>
                <c:pt idx="57">
                  <c:v>73</c:v>
                </c:pt>
                <c:pt idx="58">
                  <c:v>82</c:v>
                </c:pt>
                <c:pt idx="59">
                  <c:v>76</c:v>
                </c:pt>
                <c:pt idx="60">
                  <c:v>91</c:v>
                </c:pt>
                <c:pt idx="61">
                  <c:v>88</c:v>
                </c:pt>
                <c:pt idx="62">
                  <c:v>85</c:v>
                </c:pt>
                <c:pt idx="63">
                  <c:v>76</c:v>
                </c:pt>
                <c:pt idx="64">
                  <c:v>83</c:v>
                </c:pt>
                <c:pt idx="65">
                  <c:v>77</c:v>
                </c:pt>
                <c:pt idx="66">
                  <c:v>88</c:v>
                </c:pt>
                <c:pt idx="67">
                  <c:v>90</c:v>
                </c:pt>
                <c:pt idx="68">
                  <c:v>89</c:v>
                </c:pt>
                <c:pt idx="69">
                  <c:v>68</c:v>
                </c:pt>
                <c:pt idx="70">
                  <c:v>79</c:v>
                </c:pt>
                <c:pt idx="71">
                  <c:v>77</c:v>
                </c:pt>
                <c:pt idx="72">
                  <c:v>90</c:v>
                </c:pt>
                <c:pt idx="73">
                  <c:v>88</c:v>
                </c:pt>
                <c:pt idx="74">
                  <c:v>96</c:v>
                </c:pt>
                <c:pt idx="75">
                  <c:v>92</c:v>
                </c:pt>
                <c:pt idx="76">
                  <c:v>69</c:v>
                </c:pt>
                <c:pt idx="77">
                  <c:v>94</c:v>
                </c:pt>
              </c:numCache>
            </c:numRef>
          </c:xVal>
          <c:yVal>
            <c:numRef>
              <c:f>DATA!$Q$3:$Q$80</c:f>
              <c:numCache>
                <c:formatCode>General</c:formatCode>
                <c:ptCount val="78"/>
                <c:pt idx="0">
                  <c:v>60</c:v>
                </c:pt>
                <c:pt idx="1">
                  <c:v>60</c:v>
                </c:pt>
                <c:pt idx="2">
                  <c:v>59</c:v>
                </c:pt>
                <c:pt idx="3">
                  <c:v>58</c:v>
                </c:pt>
                <c:pt idx="4">
                  <c:v>60</c:v>
                </c:pt>
                <c:pt idx="5">
                  <c:v>60</c:v>
                </c:pt>
                <c:pt idx="6">
                  <c:v>60</c:v>
                </c:pt>
                <c:pt idx="7">
                  <c:v>60</c:v>
                </c:pt>
                <c:pt idx="8">
                  <c:v>57</c:v>
                </c:pt>
                <c:pt idx="9">
                  <c:v>58</c:v>
                </c:pt>
                <c:pt idx="10">
                  <c:v>54</c:v>
                </c:pt>
                <c:pt idx="11">
                  <c:v>56</c:v>
                </c:pt>
                <c:pt idx="12">
                  <c:v>45</c:v>
                </c:pt>
                <c:pt idx="13">
                  <c:v>60</c:v>
                </c:pt>
                <c:pt idx="14">
                  <c:v>47</c:v>
                </c:pt>
                <c:pt idx="15">
                  <c:v>45</c:v>
                </c:pt>
                <c:pt idx="16">
                  <c:v>48</c:v>
                </c:pt>
                <c:pt idx="17">
                  <c:v>56</c:v>
                </c:pt>
                <c:pt idx="18">
                  <c:v>60</c:v>
                </c:pt>
                <c:pt idx="19">
                  <c:v>58</c:v>
                </c:pt>
                <c:pt idx="20">
                  <c:v>59</c:v>
                </c:pt>
                <c:pt idx="21">
                  <c:v>57</c:v>
                </c:pt>
                <c:pt idx="22">
                  <c:v>52</c:v>
                </c:pt>
                <c:pt idx="23">
                  <c:v>51</c:v>
                </c:pt>
                <c:pt idx="24">
                  <c:v>54</c:v>
                </c:pt>
                <c:pt idx="25">
                  <c:v>49</c:v>
                </c:pt>
                <c:pt idx="26">
                  <c:v>45</c:v>
                </c:pt>
                <c:pt idx="27">
                  <c:v>58</c:v>
                </c:pt>
                <c:pt idx="28">
                  <c:v>60</c:v>
                </c:pt>
                <c:pt idx="29">
                  <c:v>58</c:v>
                </c:pt>
                <c:pt idx="30">
                  <c:v>57</c:v>
                </c:pt>
                <c:pt idx="31">
                  <c:v>41</c:v>
                </c:pt>
                <c:pt idx="32">
                  <c:v>60</c:v>
                </c:pt>
                <c:pt idx="33">
                  <c:v>59</c:v>
                </c:pt>
                <c:pt idx="34">
                  <c:v>58</c:v>
                </c:pt>
                <c:pt idx="35">
                  <c:v>43</c:v>
                </c:pt>
                <c:pt idx="36">
                  <c:v>51</c:v>
                </c:pt>
                <c:pt idx="37">
                  <c:v>47</c:v>
                </c:pt>
                <c:pt idx="38">
                  <c:v>33</c:v>
                </c:pt>
                <c:pt idx="39">
                  <c:v>55</c:v>
                </c:pt>
                <c:pt idx="40">
                  <c:v>58</c:v>
                </c:pt>
                <c:pt idx="41">
                  <c:v>34</c:v>
                </c:pt>
                <c:pt idx="42">
                  <c:v>36</c:v>
                </c:pt>
                <c:pt idx="43">
                  <c:v>41</c:v>
                </c:pt>
                <c:pt idx="44">
                  <c:v>37</c:v>
                </c:pt>
                <c:pt idx="45">
                  <c:v>33</c:v>
                </c:pt>
                <c:pt idx="46">
                  <c:v>38</c:v>
                </c:pt>
                <c:pt idx="47">
                  <c:v>40</c:v>
                </c:pt>
                <c:pt idx="48">
                  <c:v>37</c:v>
                </c:pt>
                <c:pt idx="49">
                  <c:v>31</c:v>
                </c:pt>
                <c:pt idx="50">
                  <c:v>50</c:v>
                </c:pt>
                <c:pt idx="51">
                  <c:v>30</c:v>
                </c:pt>
                <c:pt idx="52">
                  <c:v>36</c:v>
                </c:pt>
                <c:pt idx="53">
                  <c:v>35</c:v>
                </c:pt>
                <c:pt idx="54">
                  <c:v>30</c:v>
                </c:pt>
                <c:pt idx="55">
                  <c:v>43</c:v>
                </c:pt>
                <c:pt idx="56">
                  <c:v>45</c:v>
                </c:pt>
                <c:pt idx="57">
                  <c:v>55</c:v>
                </c:pt>
                <c:pt idx="58">
                  <c:v>41</c:v>
                </c:pt>
                <c:pt idx="59">
                  <c:v>55</c:v>
                </c:pt>
                <c:pt idx="60">
                  <c:v>31</c:v>
                </c:pt>
                <c:pt idx="61">
                  <c:v>45</c:v>
                </c:pt>
                <c:pt idx="62">
                  <c:v>48</c:v>
                </c:pt>
                <c:pt idx="63">
                  <c:v>30</c:v>
                </c:pt>
                <c:pt idx="64">
                  <c:v>34</c:v>
                </c:pt>
                <c:pt idx="65">
                  <c:v>59</c:v>
                </c:pt>
                <c:pt idx="66">
                  <c:v>45</c:v>
                </c:pt>
                <c:pt idx="67">
                  <c:v>53</c:v>
                </c:pt>
                <c:pt idx="68">
                  <c:v>35</c:v>
                </c:pt>
                <c:pt idx="69">
                  <c:v>47</c:v>
                </c:pt>
                <c:pt idx="70">
                  <c:v>52</c:v>
                </c:pt>
                <c:pt idx="71">
                  <c:v>56</c:v>
                </c:pt>
                <c:pt idx="72">
                  <c:v>41</c:v>
                </c:pt>
                <c:pt idx="73">
                  <c:v>32</c:v>
                </c:pt>
                <c:pt idx="74">
                  <c:v>35</c:v>
                </c:pt>
                <c:pt idx="75">
                  <c:v>49</c:v>
                </c:pt>
                <c:pt idx="76">
                  <c:v>53</c:v>
                </c:pt>
                <c:pt idx="77">
                  <c:v>44</c:v>
                </c:pt>
              </c:numCache>
            </c:numRef>
          </c:yVal>
          <c:smooth val="0"/>
          <c:extLst>
            <c:ext xmlns:c16="http://schemas.microsoft.com/office/drawing/2014/chart" uri="{C3380CC4-5D6E-409C-BE32-E72D297353CC}">
              <c16:uniqueId val="{00000001-6669-4B88-8174-46CFD8B11E58}"/>
            </c:ext>
          </c:extLst>
        </c:ser>
        <c:dLbls>
          <c:showLegendKey val="0"/>
          <c:showVal val="0"/>
          <c:showCatName val="0"/>
          <c:showSerName val="0"/>
          <c:showPercent val="0"/>
          <c:showBubbleSize val="0"/>
        </c:dLbls>
        <c:axId val="1471075088"/>
        <c:axId val="1471067600"/>
      </c:scatterChart>
      <c:valAx>
        <c:axId val="1471075088"/>
        <c:scaling>
          <c:orientation val="minMax"/>
          <c:min val="50"/>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TOTAL</a:t>
                </a:r>
                <a:r>
                  <a:rPr lang="en-US" baseline="0">
                    <a:solidFill>
                      <a:schemeClr val="bg1"/>
                    </a:solidFill>
                  </a:rPr>
                  <a: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067600"/>
        <c:crosses val="autoZero"/>
        <c:crossBetween val="midCat"/>
      </c:valAx>
      <c:valAx>
        <c:axId val="14710676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ATTENDANCE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107508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plotSurface>
          <cx:spPr>
            <a:noFill/>
            <a:ln>
              <a:noFill/>
            </a:ln>
          </cx:spPr>
        </cx:plotSurface>
        <cx:series layoutId="clusteredColumn" uniqueId="{E2114FCD-C788-4546-88FE-8C428085CB5E}">
          <cx:spPr>
            <a:ln>
              <a:noFill/>
            </a:ln>
          </cx:spPr>
          <cx:dataId val="0"/>
          <cx:layoutPr>
            <cx:binning intervalClosed="r" underflow="auto" overflow="auto"/>
          </cx:layoutPr>
        </cx:series>
      </cx:plotAreaRegion>
      <cx:axis id="0">
        <cx:catScaling gapWidth="0.340000004"/>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DATA!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9.svg"/><Relationship Id="rId18" Type="http://schemas.microsoft.com/office/2014/relationships/chartEx" Target="../charts/chartEx1.xml"/><Relationship Id="rId3" Type="http://schemas.openxmlformats.org/officeDocument/2006/relationships/chart" Target="../charts/chart3.xml"/><Relationship Id="rId7" Type="http://schemas.openxmlformats.org/officeDocument/2006/relationships/image" Target="../media/image3.emf"/><Relationship Id="rId12" Type="http://schemas.openxmlformats.org/officeDocument/2006/relationships/image" Target="../media/image8.png"/><Relationship Id="rId17" Type="http://schemas.openxmlformats.org/officeDocument/2006/relationships/chart" Target="../charts/chart6.xml"/><Relationship Id="rId2" Type="http://schemas.openxmlformats.org/officeDocument/2006/relationships/chart" Target="../charts/chart2.xml"/><Relationship Id="rId16" Type="http://schemas.openxmlformats.org/officeDocument/2006/relationships/chart" Target="../charts/chart5.xm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image" Target="../media/image7.svg"/><Relationship Id="rId5" Type="http://schemas.openxmlformats.org/officeDocument/2006/relationships/image" Target="../media/image2.emf"/><Relationship Id="rId15" Type="http://schemas.openxmlformats.org/officeDocument/2006/relationships/image" Target="../media/image11.svg"/><Relationship Id="rId10" Type="http://schemas.openxmlformats.org/officeDocument/2006/relationships/image" Target="../media/image6.png"/><Relationship Id="rId4" Type="http://schemas.openxmlformats.org/officeDocument/2006/relationships/image" Target="../media/image1.emf"/><Relationship Id="rId9" Type="http://schemas.openxmlformats.org/officeDocument/2006/relationships/image" Target="../media/image5.emf"/><Relationship Id="rId14"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209550</xdr:colOff>
      <xdr:row>0</xdr:row>
      <xdr:rowOff>120650</xdr:rowOff>
    </xdr:from>
    <xdr:to>
      <xdr:col>15</xdr:col>
      <xdr:colOff>228600</xdr:colOff>
      <xdr:row>4</xdr:row>
      <xdr:rowOff>0</xdr:rowOff>
    </xdr:to>
    <xdr:sp macro="" textlink="">
      <xdr:nvSpPr>
        <xdr:cNvPr id="2" name="Rectangle: Rounded Corners 1">
          <a:extLst>
            <a:ext uri="{FF2B5EF4-FFF2-40B4-BE49-F238E27FC236}">
              <a16:creationId xmlns:a16="http://schemas.microsoft.com/office/drawing/2014/main" id="{352CD1B3-B80C-A03F-BC2B-A3D8E3653498}"/>
            </a:ext>
          </a:extLst>
        </xdr:cNvPr>
        <xdr:cNvSpPr/>
      </xdr:nvSpPr>
      <xdr:spPr>
        <a:xfrm>
          <a:off x="209550" y="120650"/>
          <a:ext cx="9163050" cy="641350"/>
        </a:xfrm>
        <a:prstGeom prst="roundRect">
          <a:avLst/>
        </a:prstGeom>
        <a:ln w="76200">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GB" sz="4000" b="0" kern="1200" cap="none" spc="0">
              <a:ln w="0"/>
              <a:solidFill>
                <a:schemeClr val="tx1"/>
              </a:solidFill>
              <a:effectLst>
                <a:outerShdw blurRad="38100" dist="19050" dir="2700000" algn="tl" rotWithShape="0">
                  <a:schemeClr val="dk1">
                    <a:alpha val="40000"/>
                  </a:schemeClr>
                </a:outerShdw>
              </a:effectLst>
            </a:rPr>
            <a:t> LOWER</a:t>
          </a:r>
          <a:r>
            <a:rPr lang="en-GB" sz="4000" b="0" kern="1200" cap="none" spc="0" baseline="0">
              <a:ln w="0"/>
              <a:solidFill>
                <a:schemeClr val="tx1"/>
              </a:solidFill>
              <a:effectLst>
                <a:outerShdw blurRad="38100" dist="19050" dir="2700000" algn="tl" rotWithShape="0">
                  <a:schemeClr val="dk1">
                    <a:alpha val="40000"/>
                  </a:schemeClr>
                </a:outerShdw>
              </a:effectLst>
            </a:rPr>
            <a:t> PRIMARY ACADEMIC DASHBOARD</a:t>
          </a:r>
          <a:endParaRPr lang="en-GB" sz="40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0</xdr:col>
      <xdr:colOff>314325</xdr:colOff>
      <xdr:row>15</xdr:row>
      <xdr:rowOff>120650</xdr:rowOff>
    </xdr:from>
    <xdr:to>
      <xdr:col>2</xdr:col>
      <xdr:colOff>593725</xdr:colOff>
      <xdr:row>17</xdr:row>
      <xdr:rowOff>177800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A26AC02B-FAA1-0581-B382-DD3FFBEF75A4}"/>
            </a:ext>
          </a:extLst>
        </xdr:cNvPr>
        <xdr:cNvSpPr/>
      </xdr:nvSpPr>
      <xdr:spPr>
        <a:xfrm>
          <a:off x="314325" y="2978150"/>
          <a:ext cx="1498600" cy="438150"/>
        </a:xfrm>
        <a:prstGeom prst="roundRect">
          <a:avLst/>
        </a:prstGeom>
        <a:solidFill>
          <a:schemeClr val="tx2">
            <a:lumMod val="60000"/>
            <a:lumOff val="40000"/>
          </a:schemeClr>
        </a:solidFill>
        <a:ln>
          <a:solidFill>
            <a:srgbClr val="C00000"/>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kern="1200"/>
            <a:t>DASHBOARD</a:t>
          </a:r>
        </a:p>
      </xdr:txBody>
    </xdr:sp>
    <xdr:clientData/>
  </xdr:twoCellAnchor>
  <xdr:twoCellAnchor>
    <xdr:from>
      <xdr:col>3</xdr:col>
      <xdr:colOff>600075</xdr:colOff>
      <xdr:row>15</xdr:row>
      <xdr:rowOff>160337</xdr:rowOff>
    </xdr:from>
    <xdr:to>
      <xdr:col>6</xdr:col>
      <xdr:colOff>269875</xdr:colOff>
      <xdr:row>18</xdr:row>
      <xdr:rowOff>26987</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3FE529F4-E150-426E-AD16-3F28BF66ED87}"/>
            </a:ext>
          </a:extLst>
        </xdr:cNvPr>
        <xdr:cNvSpPr/>
      </xdr:nvSpPr>
      <xdr:spPr>
        <a:xfrm>
          <a:off x="2428875" y="3017837"/>
          <a:ext cx="1498600" cy="438150"/>
        </a:xfrm>
        <a:prstGeom prst="roundRect">
          <a:avLst/>
        </a:prstGeom>
        <a:solidFill>
          <a:schemeClr val="tx2">
            <a:lumMod val="60000"/>
            <a:lumOff val="40000"/>
          </a:schemeClr>
        </a:solidFill>
        <a:ln>
          <a:solidFill>
            <a:srgbClr val="F8A326"/>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kern="1200"/>
            <a:t>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383138</xdr:colOff>
      <xdr:row>0</xdr:row>
      <xdr:rowOff>77756</xdr:rowOff>
    </xdr:from>
    <xdr:to>
      <xdr:col>9</xdr:col>
      <xdr:colOff>301301</xdr:colOff>
      <xdr:row>3</xdr:row>
      <xdr:rowOff>131539</xdr:rowOff>
    </xdr:to>
    <xdr:sp macro="[0]!REFREHSH2" textlink="">
      <xdr:nvSpPr>
        <xdr:cNvPr id="180" name="Rectangle: Rounded Corners 179">
          <a:extLst>
            <a:ext uri="{FF2B5EF4-FFF2-40B4-BE49-F238E27FC236}">
              <a16:creationId xmlns:a16="http://schemas.microsoft.com/office/drawing/2014/main" id="{F0DC75A1-7649-43C9-AEDE-A6903636E82D}"/>
            </a:ext>
          </a:extLst>
        </xdr:cNvPr>
        <xdr:cNvSpPr/>
      </xdr:nvSpPr>
      <xdr:spPr>
        <a:xfrm>
          <a:off x="383138" y="77756"/>
          <a:ext cx="5429056" cy="636946"/>
        </a:xfrm>
        <a:prstGeom prst="roundRect">
          <a:avLst>
            <a:gd name="adj" fmla="val 14699"/>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2000">
              <a:latin typeface="+mj-lt"/>
            </a:rPr>
            <a:t>TERM</a:t>
          </a:r>
          <a:r>
            <a:rPr lang="en-AU" sz="2000" baseline="0">
              <a:latin typeface="+mj-lt"/>
            </a:rPr>
            <a:t>  1  ACADEMIC  REPORT  DASHBOARD</a:t>
          </a:r>
          <a:endParaRPr lang="en-AU" sz="2000">
            <a:latin typeface="+mj-lt"/>
          </a:endParaRPr>
        </a:p>
      </xdr:txBody>
    </xdr:sp>
    <xdr:clientData/>
  </xdr:twoCellAnchor>
  <xdr:twoCellAnchor>
    <xdr:from>
      <xdr:col>0</xdr:col>
      <xdr:colOff>373081</xdr:colOff>
      <xdr:row>23</xdr:row>
      <xdr:rowOff>21976</xdr:rowOff>
    </xdr:from>
    <xdr:to>
      <xdr:col>6</xdr:col>
      <xdr:colOff>604274</xdr:colOff>
      <xdr:row>36</xdr:row>
      <xdr:rowOff>48598</xdr:rowOff>
    </xdr:to>
    <xdr:sp macro="" textlink="">
      <xdr:nvSpPr>
        <xdr:cNvPr id="195" name="Rectangle: Rounded Corners 194">
          <a:extLst>
            <a:ext uri="{FF2B5EF4-FFF2-40B4-BE49-F238E27FC236}">
              <a16:creationId xmlns:a16="http://schemas.microsoft.com/office/drawing/2014/main" id="{471DE9F8-4CB0-4BE6-8416-E2C182627DA7}"/>
            </a:ext>
          </a:extLst>
        </xdr:cNvPr>
        <xdr:cNvSpPr/>
      </xdr:nvSpPr>
      <xdr:spPr>
        <a:xfrm>
          <a:off x="373081" y="4497702"/>
          <a:ext cx="3918290" cy="2556380"/>
        </a:xfrm>
        <a:prstGeom prst="roundRect">
          <a:avLst>
            <a:gd name="adj" fmla="val 2520"/>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29211</xdr:colOff>
      <xdr:row>23</xdr:row>
      <xdr:rowOff>21976</xdr:rowOff>
    </xdr:from>
    <xdr:to>
      <xdr:col>13</xdr:col>
      <xdr:colOff>266290</xdr:colOff>
      <xdr:row>36</xdr:row>
      <xdr:rowOff>48598</xdr:rowOff>
    </xdr:to>
    <xdr:sp macro="" textlink="">
      <xdr:nvSpPr>
        <xdr:cNvPr id="198" name="Rectangle: Rounded Corners 197">
          <a:extLst>
            <a:ext uri="{FF2B5EF4-FFF2-40B4-BE49-F238E27FC236}">
              <a16:creationId xmlns:a16="http://schemas.microsoft.com/office/drawing/2014/main" id="{BF9BE363-A27E-4499-8471-F497AE2432E6}"/>
            </a:ext>
          </a:extLst>
        </xdr:cNvPr>
        <xdr:cNvSpPr/>
      </xdr:nvSpPr>
      <xdr:spPr>
        <a:xfrm>
          <a:off x="4330824" y="4497702"/>
          <a:ext cx="3924176" cy="2556380"/>
        </a:xfrm>
        <a:prstGeom prst="roundRect">
          <a:avLst>
            <a:gd name="adj" fmla="val 2520"/>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13</xdr:col>
      <xdr:colOff>337985</xdr:colOff>
      <xdr:row>23</xdr:row>
      <xdr:rowOff>21976</xdr:rowOff>
    </xdr:from>
    <xdr:to>
      <xdr:col>20</xdr:col>
      <xdr:colOff>573444</xdr:colOff>
      <xdr:row>36</xdr:row>
      <xdr:rowOff>48598</xdr:rowOff>
    </xdr:to>
    <xdr:sp macro="" textlink="">
      <xdr:nvSpPr>
        <xdr:cNvPr id="199" name="Rectangle: Rounded Corners 198">
          <a:extLst>
            <a:ext uri="{FF2B5EF4-FFF2-40B4-BE49-F238E27FC236}">
              <a16:creationId xmlns:a16="http://schemas.microsoft.com/office/drawing/2014/main" id="{41D85F45-9C5C-49AD-8796-B0ADE76AD580}"/>
            </a:ext>
          </a:extLst>
        </xdr:cNvPr>
        <xdr:cNvSpPr/>
      </xdr:nvSpPr>
      <xdr:spPr>
        <a:xfrm>
          <a:off x="8326695" y="4497702"/>
          <a:ext cx="4537072" cy="255638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ATTENDANCE vs AVG SCORES</a:t>
          </a:r>
        </a:p>
      </xdr:txBody>
    </xdr:sp>
    <xdr:clientData/>
  </xdr:twoCellAnchor>
  <xdr:twoCellAnchor>
    <xdr:from>
      <xdr:col>0</xdr:col>
      <xdr:colOff>382800</xdr:colOff>
      <xdr:row>4</xdr:row>
      <xdr:rowOff>61629</xdr:rowOff>
    </xdr:from>
    <xdr:to>
      <xdr:col>20</xdr:col>
      <xdr:colOff>602602</xdr:colOff>
      <xdr:row>22</xdr:row>
      <xdr:rowOff>97193</xdr:rowOff>
    </xdr:to>
    <xdr:sp macro="" textlink="">
      <xdr:nvSpPr>
        <xdr:cNvPr id="193" name="Rectangle: Rounded Corners 192">
          <a:extLst>
            <a:ext uri="{FF2B5EF4-FFF2-40B4-BE49-F238E27FC236}">
              <a16:creationId xmlns:a16="http://schemas.microsoft.com/office/drawing/2014/main" id="{E2A84EBD-38A3-4C58-9ECF-E6A6B79C794C}"/>
            </a:ext>
          </a:extLst>
        </xdr:cNvPr>
        <xdr:cNvSpPr/>
      </xdr:nvSpPr>
      <xdr:spPr>
        <a:xfrm>
          <a:off x="382800" y="839180"/>
          <a:ext cx="12466231" cy="3534544"/>
        </a:xfrm>
        <a:prstGeom prst="roundRect">
          <a:avLst>
            <a:gd name="adj" fmla="val 220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116903</xdr:colOff>
      <xdr:row>0</xdr:row>
      <xdr:rowOff>106914</xdr:rowOff>
    </xdr:from>
    <xdr:to>
      <xdr:col>20</xdr:col>
      <xdr:colOff>126352</xdr:colOff>
      <xdr:row>3</xdr:row>
      <xdr:rowOff>92661</xdr:rowOff>
    </xdr:to>
    <xdr:sp macro="" textlink="">
      <xdr:nvSpPr>
        <xdr:cNvPr id="197" name="Rectangle: Rounded Corners 196">
          <a:extLst>
            <a:ext uri="{FF2B5EF4-FFF2-40B4-BE49-F238E27FC236}">
              <a16:creationId xmlns:a16="http://schemas.microsoft.com/office/drawing/2014/main" id="{600617D0-7CF8-4DB0-BC2D-DE312B9125EF}"/>
            </a:ext>
          </a:extLst>
        </xdr:cNvPr>
        <xdr:cNvSpPr/>
      </xdr:nvSpPr>
      <xdr:spPr>
        <a:xfrm>
          <a:off x="11138689" y="106914"/>
          <a:ext cx="1234092" cy="568910"/>
        </a:xfrm>
        <a:prstGeom prst="roundRect">
          <a:avLst>
            <a:gd name="adj" fmla="val 14699"/>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a:t>  </a:t>
          </a:r>
          <a:endParaRPr lang="en-AU" sz="1100"/>
        </a:p>
      </xdr:txBody>
    </xdr:sp>
    <xdr:clientData/>
  </xdr:twoCellAnchor>
  <xdr:twoCellAnchor>
    <xdr:from>
      <xdr:col>15</xdr:col>
      <xdr:colOff>573435</xdr:colOff>
      <xdr:row>0</xdr:row>
      <xdr:rowOff>87476</xdr:rowOff>
    </xdr:from>
    <xdr:to>
      <xdr:col>17</xdr:col>
      <xdr:colOff>582884</xdr:colOff>
      <xdr:row>3</xdr:row>
      <xdr:rowOff>92662</xdr:rowOff>
    </xdr:to>
    <xdr:sp macro="" textlink="">
      <xdr:nvSpPr>
        <xdr:cNvPr id="196" name="Rectangle: Rounded Corners 195">
          <a:extLst>
            <a:ext uri="{FF2B5EF4-FFF2-40B4-BE49-F238E27FC236}">
              <a16:creationId xmlns:a16="http://schemas.microsoft.com/office/drawing/2014/main" id="{D20B54EA-7FA8-4C1B-B8AE-35CF0905AC23}"/>
            </a:ext>
          </a:extLst>
        </xdr:cNvPr>
        <xdr:cNvSpPr/>
      </xdr:nvSpPr>
      <xdr:spPr>
        <a:xfrm>
          <a:off x="9758256" y="87476"/>
          <a:ext cx="1234092" cy="588349"/>
        </a:xfrm>
        <a:prstGeom prst="roundRect">
          <a:avLst>
            <a:gd name="adj" fmla="val 14699"/>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AU" sz="1100"/>
        </a:p>
      </xdr:txBody>
    </xdr:sp>
    <xdr:clientData/>
  </xdr:twoCellAnchor>
  <xdr:twoCellAnchor>
    <xdr:from>
      <xdr:col>12</xdr:col>
      <xdr:colOff>437082</xdr:colOff>
      <xdr:row>0</xdr:row>
      <xdr:rowOff>77756</xdr:rowOff>
    </xdr:from>
    <xdr:to>
      <xdr:col>14</xdr:col>
      <xdr:colOff>446531</xdr:colOff>
      <xdr:row>3</xdr:row>
      <xdr:rowOff>73222</xdr:rowOff>
    </xdr:to>
    <xdr:sp macro="" textlink="">
      <xdr:nvSpPr>
        <xdr:cNvPr id="191" name="Rectangle: Rounded Corners 190">
          <a:extLst>
            <a:ext uri="{FF2B5EF4-FFF2-40B4-BE49-F238E27FC236}">
              <a16:creationId xmlns:a16="http://schemas.microsoft.com/office/drawing/2014/main" id="{910837B2-3F5C-4562-9A32-C4BA8CACC7FA}"/>
            </a:ext>
          </a:extLst>
        </xdr:cNvPr>
        <xdr:cNvSpPr/>
      </xdr:nvSpPr>
      <xdr:spPr>
        <a:xfrm>
          <a:off x="7784939" y="77756"/>
          <a:ext cx="1234092" cy="578629"/>
        </a:xfrm>
        <a:prstGeom prst="roundRect">
          <a:avLst>
            <a:gd name="adj" fmla="val 14699"/>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AU" sz="1100"/>
        </a:p>
      </xdr:txBody>
    </xdr:sp>
    <xdr:clientData/>
  </xdr:twoCellAnchor>
  <xdr:twoCellAnchor>
    <xdr:from>
      <xdr:col>15</xdr:col>
      <xdr:colOff>194388</xdr:colOff>
      <xdr:row>6</xdr:row>
      <xdr:rowOff>126352</xdr:rowOff>
    </xdr:from>
    <xdr:to>
      <xdr:col>20</xdr:col>
      <xdr:colOff>544284</xdr:colOff>
      <xdr:row>13</xdr:row>
      <xdr:rowOff>106913</xdr:rowOff>
    </xdr:to>
    <xdr:graphicFrame macro="">
      <xdr:nvGraphicFramePr>
        <xdr:cNvPr id="26" name="Chart 1">
          <a:extLst>
            <a:ext uri="{FF2B5EF4-FFF2-40B4-BE49-F238E27FC236}">
              <a16:creationId xmlns:a16="http://schemas.microsoft.com/office/drawing/2014/main" id="{9C015D06-5118-8628-6C95-D34C5344CC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311021</xdr:colOff>
      <xdr:row>16</xdr:row>
      <xdr:rowOff>135293</xdr:rowOff>
    </xdr:from>
    <xdr:to>
      <xdr:col>12</xdr:col>
      <xdr:colOff>398496</xdr:colOff>
      <xdr:row>22</xdr:row>
      <xdr:rowOff>87471</xdr:rowOff>
    </xdr:to>
    <mc:AlternateContent xmlns:mc="http://schemas.openxmlformats.org/markup-compatibility/2006" xmlns:a14="http://schemas.microsoft.com/office/drawing/2010/main">
      <mc:Choice Requires="a14">
        <xdr:graphicFrame macro="">
          <xdr:nvGraphicFramePr>
            <xdr:cNvPr id="42" name="BASIC 1">
              <a:extLst>
                <a:ext uri="{FF2B5EF4-FFF2-40B4-BE49-F238E27FC236}">
                  <a16:creationId xmlns:a16="http://schemas.microsoft.com/office/drawing/2014/main" id="{D32398BE-D0BE-465B-AD3A-C1EFBCF6A759}"/>
                </a:ext>
              </a:extLst>
            </xdr:cNvPr>
            <xdr:cNvGraphicFramePr/>
          </xdr:nvGraphicFramePr>
          <xdr:xfrm>
            <a:off x="0" y="0"/>
            <a:ext cx="0" cy="0"/>
          </xdr:xfrm>
          <a:graphic>
            <a:graphicData uri="http://schemas.microsoft.com/office/drawing/2010/slicer">
              <sle:slicer xmlns:sle="http://schemas.microsoft.com/office/drawing/2010/slicer" name="BASIC 1"/>
            </a:graphicData>
          </a:graphic>
        </xdr:graphicFrame>
      </mc:Choice>
      <mc:Fallback xmlns="">
        <xdr:sp macro="" textlink="">
          <xdr:nvSpPr>
            <xdr:cNvPr id="0" name=""/>
            <xdr:cNvSpPr>
              <a:spLocks noTextEdit="1"/>
            </xdr:cNvSpPr>
          </xdr:nvSpPr>
          <xdr:spPr>
            <a:xfrm>
              <a:off x="6434235" y="3245497"/>
              <a:ext cx="1312118" cy="11185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12</xdr:col>
      <xdr:colOff>387006</xdr:colOff>
      <xdr:row>0</xdr:row>
      <xdr:rowOff>41541</xdr:rowOff>
    </xdr:from>
    <xdr:ext cx="1284728" cy="280205"/>
    <xdr:sp macro="" textlink="">
      <xdr:nvSpPr>
        <xdr:cNvPr id="105" name="TextBox 104">
          <a:extLst>
            <a:ext uri="{FF2B5EF4-FFF2-40B4-BE49-F238E27FC236}">
              <a16:creationId xmlns:a16="http://schemas.microsoft.com/office/drawing/2014/main" id="{C728CE5F-8521-4589-B86D-9042A8266DBB}"/>
            </a:ext>
          </a:extLst>
        </xdr:cNvPr>
        <xdr:cNvSpPr txBox="1"/>
      </xdr:nvSpPr>
      <xdr:spPr>
        <a:xfrm>
          <a:off x="7734863" y="41541"/>
          <a:ext cx="128472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chemeClr val="bg1"/>
              </a:solidFill>
            </a:rPr>
            <a:t>TOTAL</a:t>
          </a:r>
          <a:r>
            <a:rPr lang="en-AU" sz="1200" baseline="0">
              <a:solidFill>
                <a:schemeClr val="bg1"/>
              </a:solidFill>
            </a:rPr>
            <a:t> LEARNERS</a:t>
          </a:r>
          <a:endParaRPr lang="en-AU" sz="1200">
            <a:solidFill>
              <a:schemeClr val="bg1"/>
            </a:solidFill>
          </a:endParaRPr>
        </a:p>
      </xdr:txBody>
    </xdr:sp>
    <xdr:clientData/>
  </xdr:oneCellAnchor>
  <xdr:twoCellAnchor>
    <xdr:from>
      <xdr:col>7</xdr:col>
      <xdr:colOff>30726</xdr:colOff>
      <xdr:row>23</xdr:row>
      <xdr:rowOff>50950</xdr:rowOff>
    </xdr:from>
    <xdr:to>
      <xdr:col>10</xdr:col>
      <xdr:colOff>103501</xdr:colOff>
      <xdr:row>24</xdr:row>
      <xdr:rowOff>159104</xdr:rowOff>
    </xdr:to>
    <xdr:grpSp>
      <xdr:nvGrpSpPr>
        <xdr:cNvPr id="107" name="Group 106">
          <a:extLst>
            <a:ext uri="{FF2B5EF4-FFF2-40B4-BE49-F238E27FC236}">
              <a16:creationId xmlns:a16="http://schemas.microsoft.com/office/drawing/2014/main" id="{D5491B48-D80F-4344-BD7B-57C10356FA45}"/>
            </a:ext>
          </a:extLst>
        </xdr:cNvPr>
        <xdr:cNvGrpSpPr/>
      </xdr:nvGrpSpPr>
      <xdr:grpSpPr>
        <a:xfrm>
          <a:off x="4332339" y="4526676"/>
          <a:ext cx="1916323" cy="302751"/>
          <a:chOff x="25474" y="835861"/>
          <a:chExt cx="1842679" cy="285846"/>
        </a:xfrm>
      </xdr:grpSpPr>
      <xdr:sp macro="" textlink="">
        <xdr:nvSpPr>
          <xdr:cNvPr id="108" name="Rectangle: Rounded Corners 107">
            <a:extLst>
              <a:ext uri="{FF2B5EF4-FFF2-40B4-BE49-F238E27FC236}">
                <a16:creationId xmlns:a16="http://schemas.microsoft.com/office/drawing/2014/main" id="{8678D568-9CDE-8738-0AEC-25DEAABC88B1}"/>
              </a:ext>
            </a:extLst>
          </xdr:cNvPr>
          <xdr:cNvSpPr/>
        </xdr:nvSpPr>
        <xdr:spPr>
          <a:xfrm>
            <a:off x="61882" y="835861"/>
            <a:ext cx="1806271"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09" name="TextBox 108">
            <a:extLst>
              <a:ext uri="{FF2B5EF4-FFF2-40B4-BE49-F238E27FC236}">
                <a16:creationId xmlns:a16="http://schemas.microsoft.com/office/drawing/2014/main" id="{FFF5E203-827B-D773-7DA6-0C37D3740C87}"/>
              </a:ext>
            </a:extLst>
          </xdr:cNvPr>
          <xdr:cNvSpPr txBox="1"/>
        </xdr:nvSpPr>
        <xdr:spPr>
          <a:xfrm>
            <a:off x="25474" y="856025"/>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100">
                <a:solidFill>
                  <a:schemeClr val="bg1"/>
                </a:solidFill>
              </a:rPr>
              <a:t>SCORE</a:t>
            </a:r>
            <a:r>
              <a:rPr lang="en-AU" sz="1100" baseline="0">
                <a:solidFill>
                  <a:schemeClr val="bg1"/>
                </a:solidFill>
              </a:rPr>
              <a:t> DISTRIBUTION</a:t>
            </a:r>
            <a:endParaRPr lang="en-AU" sz="1100">
              <a:solidFill>
                <a:schemeClr val="bg1"/>
              </a:solidFill>
            </a:endParaRPr>
          </a:p>
        </xdr:txBody>
      </xdr:sp>
    </xdr:grpSp>
    <xdr:clientData/>
  </xdr:twoCellAnchor>
  <xdr:twoCellAnchor>
    <xdr:from>
      <xdr:col>15</xdr:col>
      <xdr:colOff>335140</xdr:colOff>
      <xdr:row>23</xdr:row>
      <xdr:rowOff>61190</xdr:rowOff>
    </xdr:from>
    <xdr:to>
      <xdr:col>18</xdr:col>
      <xdr:colOff>269889</xdr:colOff>
      <xdr:row>24</xdr:row>
      <xdr:rowOff>169343</xdr:rowOff>
    </xdr:to>
    <xdr:grpSp>
      <xdr:nvGrpSpPr>
        <xdr:cNvPr id="111" name="Group 110">
          <a:extLst>
            <a:ext uri="{FF2B5EF4-FFF2-40B4-BE49-F238E27FC236}">
              <a16:creationId xmlns:a16="http://schemas.microsoft.com/office/drawing/2014/main" id="{04AEA06B-1428-4B65-8CAD-5840B6B8D56F}"/>
            </a:ext>
          </a:extLst>
        </xdr:cNvPr>
        <xdr:cNvGrpSpPr/>
      </xdr:nvGrpSpPr>
      <xdr:grpSpPr>
        <a:xfrm>
          <a:off x="9552882" y="4536916"/>
          <a:ext cx="1778297" cy="302750"/>
          <a:chOff x="91367" y="640625"/>
          <a:chExt cx="1677717" cy="285846"/>
        </a:xfrm>
      </xdr:grpSpPr>
      <xdr:sp macro="" textlink="">
        <xdr:nvSpPr>
          <xdr:cNvPr id="112" name="Rectangle: Rounded Corners 111">
            <a:extLst>
              <a:ext uri="{FF2B5EF4-FFF2-40B4-BE49-F238E27FC236}">
                <a16:creationId xmlns:a16="http://schemas.microsoft.com/office/drawing/2014/main" id="{597C781A-1A7C-2D0E-FB5A-685378402D67}"/>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13" name="TextBox 112">
            <a:extLst>
              <a:ext uri="{FF2B5EF4-FFF2-40B4-BE49-F238E27FC236}">
                <a16:creationId xmlns:a16="http://schemas.microsoft.com/office/drawing/2014/main" id="{11F00E0F-1DF2-0FE7-D43B-0DDCC0ED57A2}"/>
              </a:ext>
            </a:extLst>
          </xdr:cNvPr>
          <xdr:cNvSpPr txBox="1"/>
        </xdr:nvSpPr>
        <xdr:spPr>
          <a:xfrm>
            <a:off x="91367"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900" baseline="0">
              <a:solidFill>
                <a:schemeClr val="bg1"/>
              </a:solidFill>
            </a:endParaRPr>
          </a:p>
        </xdr:txBody>
      </xdr:sp>
    </xdr:grpSp>
    <xdr:clientData/>
  </xdr:twoCellAnchor>
  <xdr:twoCellAnchor>
    <xdr:from>
      <xdr:col>0</xdr:col>
      <xdr:colOff>341664</xdr:colOff>
      <xdr:row>23</xdr:row>
      <xdr:rowOff>53412</xdr:rowOff>
    </xdr:from>
    <xdr:to>
      <xdr:col>3</xdr:col>
      <xdr:colOff>277333</xdr:colOff>
      <xdr:row>24</xdr:row>
      <xdr:rowOff>161567</xdr:rowOff>
    </xdr:to>
    <xdr:grpSp>
      <xdr:nvGrpSpPr>
        <xdr:cNvPr id="115" name="Group 114">
          <a:extLst>
            <a:ext uri="{FF2B5EF4-FFF2-40B4-BE49-F238E27FC236}">
              <a16:creationId xmlns:a16="http://schemas.microsoft.com/office/drawing/2014/main" id="{CAC14BE3-4DDF-4E0E-A2E3-AC097BF5BAD2}"/>
            </a:ext>
          </a:extLst>
        </xdr:cNvPr>
        <xdr:cNvGrpSpPr/>
      </xdr:nvGrpSpPr>
      <xdr:grpSpPr>
        <a:xfrm>
          <a:off x="341664" y="4529138"/>
          <a:ext cx="1779217" cy="302752"/>
          <a:chOff x="140748" y="505271"/>
          <a:chExt cx="1850088" cy="285846"/>
        </a:xfrm>
      </xdr:grpSpPr>
      <xdr:sp macro="" textlink="">
        <xdr:nvSpPr>
          <xdr:cNvPr id="116" name="Rectangle: Rounded Corners 115">
            <a:extLst>
              <a:ext uri="{FF2B5EF4-FFF2-40B4-BE49-F238E27FC236}">
                <a16:creationId xmlns:a16="http://schemas.microsoft.com/office/drawing/2014/main" id="{82D63ADA-B087-37E5-D073-DC9DA7CD2937}"/>
              </a:ext>
            </a:extLst>
          </xdr:cNvPr>
          <xdr:cNvSpPr/>
        </xdr:nvSpPr>
        <xdr:spPr>
          <a:xfrm>
            <a:off x="184566" y="505271"/>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17" name="TextBox 116">
            <a:extLst>
              <a:ext uri="{FF2B5EF4-FFF2-40B4-BE49-F238E27FC236}">
                <a16:creationId xmlns:a16="http://schemas.microsoft.com/office/drawing/2014/main" id="{99BACC9A-F000-39AD-2A4F-878B4F942820}"/>
              </a:ext>
            </a:extLst>
          </xdr:cNvPr>
          <xdr:cNvSpPr txBox="1"/>
        </xdr:nvSpPr>
        <xdr:spPr>
          <a:xfrm>
            <a:off x="140748" y="534620"/>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200">
                <a:solidFill>
                  <a:schemeClr val="bg1"/>
                </a:solidFill>
              </a:rPr>
              <a:t>PASS</a:t>
            </a:r>
            <a:r>
              <a:rPr lang="en-AU" sz="1200" baseline="0">
                <a:solidFill>
                  <a:schemeClr val="bg1"/>
                </a:solidFill>
              </a:rPr>
              <a:t> RATE  (%)</a:t>
            </a:r>
            <a:endParaRPr lang="en-AU" sz="1200">
              <a:solidFill>
                <a:schemeClr val="bg1"/>
              </a:solidFill>
            </a:endParaRPr>
          </a:p>
        </xdr:txBody>
      </xdr:sp>
    </xdr:grpSp>
    <xdr:clientData/>
  </xdr:twoCellAnchor>
  <xdr:oneCellAnchor>
    <xdr:from>
      <xdr:col>15</xdr:col>
      <xdr:colOff>593762</xdr:colOff>
      <xdr:row>0</xdr:row>
      <xdr:rowOff>19439</xdr:rowOff>
    </xdr:from>
    <xdr:ext cx="1181349" cy="301301"/>
    <xdr:sp macro="" textlink="">
      <xdr:nvSpPr>
        <xdr:cNvPr id="122" name="TextBox 121">
          <a:extLst>
            <a:ext uri="{FF2B5EF4-FFF2-40B4-BE49-F238E27FC236}">
              <a16:creationId xmlns:a16="http://schemas.microsoft.com/office/drawing/2014/main" id="{731DE02F-5995-4B21-8B2E-AFBD72D1A284}"/>
            </a:ext>
          </a:extLst>
        </xdr:cNvPr>
        <xdr:cNvSpPr txBox="1"/>
      </xdr:nvSpPr>
      <xdr:spPr>
        <a:xfrm>
          <a:off x="9778583" y="19439"/>
          <a:ext cx="1181349" cy="301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200">
              <a:solidFill>
                <a:srgbClr val="FFFF00"/>
              </a:solidFill>
            </a:rPr>
            <a:t>HIGHEST</a:t>
          </a:r>
          <a:r>
            <a:rPr lang="en-AU" sz="1200" baseline="0">
              <a:solidFill>
                <a:srgbClr val="FFFF00"/>
              </a:solidFill>
            </a:rPr>
            <a:t> SCORE</a:t>
          </a:r>
          <a:endParaRPr lang="en-AU" sz="1200">
            <a:solidFill>
              <a:srgbClr val="FFFF00"/>
            </a:solidFill>
          </a:endParaRPr>
        </a:p>
      </xdr:txBody>
    </xdr:sp>
    <xdr:clientData/>
  </xdr:oneCellAnchor>
  <xdr:twoCellAnchor>
    <xdr:from>
      <xdr:col>0</xdr:col>
      <xdr:colOff>410158</xdr:colOff>
      <xdr:row>4</xdr:row>
      <xdr:rowOff>89842</xdr:rowOff>
    </xdr:from>
    <xdr:to>
      <xdr:col>4</xdr:col>
      <xdr:colOff>136071</xdr:colOff>
      <xdr:row>6</xdr:row>
      <xdr:rowOff>9777</xdr:rowOff>
    </xdr:to>
    <xdr:sp macro="" textlink="">
      <xdr:nvSpPr>
        <xdr:cNvPr id="120" name="Rectangle: Rounded Corners 119">
          <a:extLst>
            <a:ext uri="{FF2B5EF4-FFF2-40B4-BE49-F238E27FC236}">
              <a16:creationId xmlns:a16="http://schemas.microsoft.com/office/drawing/2014/main" id="{A8270DD4-6DE2-7CA5-AA63-125E3C294664}"/>
            </a:ext>
          </a:extLst>
        </xdr:cNvPr>
        <xdr:cNvSpPr/>
      </xdr:nvSpPr>
      <xdr:spPr>
        <a:xfrm>
          <a:off x="410158" y="867393"/>
          <a:ext cx="2175199" cy="30871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AU" sz="1200">
              <a:solidFill>
                <a:schemeClr val="bg1"/>
              </a:solidFill>
              <a:effectLst/>
              <a:latin typeface="+mn-lt"/>
              <a:ea typeface="+mn-ea"/>
              <a:cs typeface="+mn-cs"/>
            </a:rPr>
            <a:t> AVERAGE</a:t>
          </a:r>
          <a:r>
            <a:rPr lang="en-AU" sz="1200" baseline="0">
              <a:solidFill>
                <a:schemeClr val="bg1"/>
              </a:solidFill>
              <a:effectLst/>
              <a:latin typeface="+mn-lt"/>
              <a:ea typeface="+mn-ea"/>
              <a:cs typeface="+mn-cs"/>
            </a:rPr>
            <a:t> SCORE PER SUBJECT</a:t>
          </a:r>
          <a:endParaRPr lang="en-US" sz="1200">
            <a:solidFill>
              <a:schemeClr val="bg1"/>
            </a:solidFill>
            <a:effectLst/>
          </a:endParaRPr>
        </a:p>
      </xdr:txBody>
    </xdr:sp>
    <xdr:clientData/>
  </xdr:twoCellAnchor>
  <xdr:oneCellAnchor>
    <xdr:from>
      <xdr:col>18</xdr:col>
      <xdr:colOff>111663</xdr:colOff>
      <xdr:row>0</xdr:row>
      <xdr:rowOff>68036</xdr:rowOff>
    </xdr:from>
    <xdr:ext cx="1318438" cy="286365"/>
    <xdr:sp macro="" textlink="">
      <xdr:nvSpPr>
        <xdr:cNvPr id="123" name="TextBox 122">
          <a:extLst>
            <a:ext uri="{FF2B5EF4-FFF2-40B4-BE49-F238E27FC236}">
              <a16:creationId xmlns:a16="http://schemas.microsoft.com/office/drawing/2014/main" id="{127B2EA0-426B-4AD7-8201-BA76A6A078DC}"/>
            </a:ext>
          </a:extLst>
        </xdr:cNvPr>
        <xdr:cNvSpPr txBox="1"/>
      </xdr:nvSpPr>
      <xdr:spPr>
        <a:xfrm>
          <a:off x="11133449" y="68036"/>
          <a:ext cx="1318438" cy="286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200">
              <a:solidFill>
                <a:srgbClr val="FFFF00"/>
              </a:solidFill>
            </a:rPr>
            <a:t>AVG</a:t>
          </a:r>
          <a:r>
            <a:rPr lang="en-AU" sz="1200" baseline="0">
              <a:solidFill>
                <a:srgbClr val="FFFF00"/>
              </a:solidFill>
            </a:rPr>
            <a:t> CLASS SCORE</a:t>
          </a:r>
          <a:endParaRPr lang="en-AU" sz="1200">
            <a:solidFill>
              <a:srgbClr val="FFFF00"/>
            </a:solidFill>
          </a:endParaRPr>
        </a:p>
      </xdr:txBody>
    </xdr:sp>
    <xdr:clientData/>
  </xdr:oneCellAnchor>
  <xdr:twoCellAnchor>
    <xdr:from>
      <xdr:col>10</xdr:col>
      <xdr:colOff>509151</xdr:colOff>
      <xdr:row>4</xdr:row>
      <xdr:rowOff>71349</xdr:rowOff>
    </xdr:from>
    <xdr:to>
      <xdr:col>14</xdr:col>
      <xdr:colOff>223545</xdr:colOff>
      <xdr:row>5</xdr:row>
      <xdr:rowOff>185672</xdr:rowOff>
    </xdr:to>
    <xdr:sp macro="" textlink="">
      <xdr:nvSpPr>
        <xdr:cNvPr id="201" name="Rectangle: Rounded Corners 200">
          <a:extLst>
            <a:ext uri="{FF2B5EF4-FFF2-40B4-BE49-F238E27FC236}">
              <a16:creationId xmlns:a16="http://schemas.microsoft.com/office/drawing/2014/main" id="{3ACF4C44-7EC5-42A2-BEE3-416426353F6F}"/>
            </a:ext>
          </a:extLst>
        </xdr:cNvPr>
        <xdr:cNvSpPr/>
      </xdr:nvSpPr>
      <xdr:spPr>
        <a:xfrm>
          <a:off x="6632365" y="848900"/>
          <a:ext cx="2163680" cy="30871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a:t> CLASS</a:t>
          </a:r>
          <a:r>
            <a:rPr lang="en-AU" sz="1200" baseline="0"/>
            <a:t> GENDER COMPOSITION</a:t>
          </a:r>
        </a:p>
      </xdr:txBody>
    </xdr:sp>
    <xdr:clientData/>
  </xdr:twoCellAnchor>
  <xdr:twoCellAnchor>
    <xdr:from>
      <xdr:col>15</xdr:col>
      <xdr:colOff>243618</xdr:colOff>
      <xdr:row>4</xdr:row>
      <xdr:rowOff>58519</xdr:rowOff>
    </xdr:from>
    <xdr:to>
      <xdr:col>19</xdr:col>
      <xdr:colOff>29158</xdr:colOff>
      <xdr:row>5</xdr:row>
      <xdr:rowOff>172842</xdr:rowOff>
    </xdr:to>
    <xdr:sp macro="" textlink="">
      <xdr:nvSpPr>
        <xdr:cNvPr id="202" name="Rectangle: Rounded Corners 201">
          <a:extLst>
            <a:ext uri="{FF2B5EF4-FFF2-40B4-BE49-F238E27FC236}">
              <a16:creationId xmlns:a16="http://schemas.microsoft.com/office/drawing/2014/main" id="{5C7C78CC-6BF6-4DF6-81B1-138639349835}"/>
            </a:ext>
          </a:extLst>
        </xdr:cNvPr>
        <xdr:cNvSpPr/>
      </xdr:nvSpPr>
      <xdr:spPr>
        <a:xfrm>
          <a:off x="9428439" y="836070"/>
          <a:ext cx="2234826" cy="30871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a:t> AVERAGE</a:t>
          </a:r>
          <a:r>
            <a:rPr lang="en-AU" sz="1200" baseline="0"/>
            <a:t> SCORE PER GENDER</a:t>
          </a:r>
          <a:endParaRPr lang="en-AU" sz="1200"/>
        </a:p>
      </xdr:txBody>
    </xdr:sp>
    <xdr:clientData/>
  </xdr:twoCellAnchor>
  <xdr:twoCellAnchor>
    <xdr:from>
      <xdr:col>0</xdr:col>
      <xdr:colOff>409677</xdr:colOff>
      <xdr:row>6</xdr:row>
      <xdr:rowOff>29158</xdr:rowOff>
    </xdr:from>
    <xdr:to>
      <xdr:col>10</xdr:col>
      <xdr:colOff>194388</xdr:colOff>
      <xdr:row>22</xdr:row>
      <xdr:rowOff>102419</xdr:rowOff>
    </xdr:to>
    <xdr:graphicFrame macro="">
      <xdr:nvGraphicFramePr>
        <xdr:cNvPr id="3" name="Chart 1">
          <a:extLst>
            <a:ext uri="{FF2B5EF4-FFF2-40B4-BE49-F238E27FC236}">
              <a16:creationId xmlns:a16="http://schemas.microsoft.com/office/drawing/2014/main" id="{386665B9-0160-DBA4-6CE8-DA8CDCE7BB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379057</xdr:colOff>
      <xdr:row>24</xdr:row>
      <xdr:rowOff>133146</xdr:rowOff>
    </xdr:from>
    <xdr:to>
      <xdr:col>6</xdr:col>
      <xdr:colOff>594032</xdr:colOff>
      <xdr:row>35</xdr:row>
      <xdr:rowOff>155512</xdr:rowOff>
    </xdr:to>
    <xdr:graphicFrame macro="">
      <xdr:nvGraphicFramePr>
        <xdr:cNvPr id="4" name="Chart 1">
          <a:extLst>
            <a:ext uri="{FF2B5EF4-FFF2-40B4-BE49-F238E27FC236}">
              <a16:creationId xmlns:a16="http://schemas.microsoft.com/office/drawing/2014/main" id="{BF4F5C50-73ED-F4A6-B274-61AE0BA455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48597</xdr:colOff>
          <xdr:row>1</xdr:row>
          <xdr:rowOff>184355</xdr:rowOff>
        </xdr:from>
        <xdr:to>
          <xdr:col>14</xdr:col>
          <xdr:colOff>427653</xdr:colOff>
          <xdr:row>3</xdr:row>
          <xdr:rowOff>38877</xdr:rowOff>
        </xdr:to>
        <xdr:pic>
          <xdr:nvPicPr>
            <xdr:cNvPr id="10" name="Picture 9">
              <a:extLst>
                <a:ext uri="{FF2B5EF4-FFF2-40B4-BE49-F238E27FC236}">
                  <a16:creationId xmlns:a16="http://schemas.microsoft.com/office/drawing/2014/main" id="{9810DF1B-8719-1C63-044A-16E6273444A2}"/>
                </a:ext>
              </a:extLst>
            </xdr:cNvPr>
            <xdr:cNvPicPr>
              <a:picLocks noChangeAspect="1" noChangeArrowheads="1"/>
              <a:extLst>
                <a:ext uri="{84589F7E-364E-4C9E-8A38-B11213B215E9}">
                  <a14:cameraTool cellRange="'T L'!$A$4" spid="_x0000_s2560"/>
                </a:ext>
              </a:extLst>
            </xdr:cNvPicPr>
          </xdr:nvPicPr>
          <xdr:blipFill>
            <a:blip xmlns:r="http://schemas.openxmlformats.org/officeDocument/2006/relationships" r:embed="rId4"/>
            <a:srcRect/>
            <a:stretch>
              <a:fillRect/>
            </a:stretch>
          </xdr:blipFill>
          <xdr:spPr bwMode="auto">
            <a:xfrm>
              <a:off x="8651823" y="378952"/>
              <a:ext cx="379056" cy="24371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83517</xdr:colOff>
          <xdr:row>2</xdr:row>
          <xdr:rowOff>0</xdr:rowOff>
        </xdr:from>
        <xdr:to>
          <xdr:col>20</xdr:col>
          <xdr:colOff>126349</xdr:colOff>
          <xdr:row>3</xdr:row>
          <xdr:rowOff>58317</xdr:rowOff>
        </xdr:to>
        <xdr:pic>
          <xdr:nvPicPr>
            <xdr:cNvPr id="13" name="Picture 12">
              <a:extLst>
                <a:ext uri="{FF2B5EF4-FFF2-40B4-BE49-F238E27FC236}">
                  <a16:creationId xmlns:a16="http://schemas.microsoft.com/office/drawing/2014/main" id="{37CC2FB8-BC9B-B7A6-D2CB-7DDAEFE76C70}"/>
                </a:ext>
              </a:extLst>
            </xdr:cNvPr>
            <xdr:cNvPicPr>
              <a:picLocks noChangeAspect="1" noChangeArrowheads="1"/>
              <a:extLst>
                <a:ext uri="{84589F7E-364E-4C9E-8A38-B11213B215E9}">
                  <a14:cameraTool cellRange="Sheet5!$A$4" spid="_x0000_s2561"/>
                </a:ext>
              </a:extLst>
            </xdr:cNvPicPr>
          </xdr:nvPicPr>
          <xdr:blipFill>
            <a:blip xmlns:r="http://schemas.openxmlformats.org/officeDocument/2006/relationships" r:embed="rId5"/>
            <a:srcRect/>
            <a:stretch>
              <a:fillRect/>
            </a:stretch>
          </xdr:blipFill>
          <xdr:spPr bwMode="auto">
            <a:xfrm>
              <a:off x="11759323" y="389194"/>
              <a:ext cx="657349" cy="25291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495688</xdr:colOff>
      <xdr:row>14</xdr:row>
      <xdr:rowOff>87473</xdr:rowOff>
    </xdr:from>
    <xdr:to>
      <xdr:col>20</xdr:col>
      <xdr:colOff>466530</xdr:colOff>
      <xdr:row>21</xdr:row>
      <xdr:rowOff>116633</xdr:rowOff>
    </xdr:to>
    <xdr:graphicFrame macro="">
      <xdr:nvGraphicFramePr>
        <xdr:cNvPr id="19" name="Chart 1">
          <a:extLst>
            <a:ext uri="{FF2B5EF4-FFF2-40B4-BE49-F238E27FC236}">
              <a16:creationId xmlns:a16="http://schemas.microsoft.com/office/drawing/2014/main" id="{6B4824D9-1DC0-EF49-7D16-F78A589A15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78388</xdr:colOff>
      <xdr:row>13</xdr:row>
      <xdr:rowOff>107115</xdr:rowOff>
    </xdr:from>
    <xdr:to>
      <xdr:col>17</xdr:col>
      <xdr:colOff>427653</xdr:colOff>
      <xdr:row>14</xdr:row>
      <xdr:rowOff>174948</xdr:rowOff>
    </xdr:to>
    <xdr:sp macro="" textlink="">
      <xdr:nvSpPr>
        <xdr:cNvPr id="23" name="Rectangle: Rounded Corners 22">
          <a:extLst>
            <a:ext uri="{FF2B5EF4-FFF2-40B4-BE49-F238E27FC236}">
              <a16:creationId xmlns:a16="http://schemas.microsoft.com/office/drawing/2014/main" id="{811C44AE-B83F-4B32-86CF-5A91844B6586}"/>
            </a:ext>
          </a:extLst>
        </xdr:cNvPr>
        <xdr:cNvSpPr/>
      </xdr:nvSpPr>
      <xdr:spPr>
        <a:xfrm>
          <a:off x="9263209" y="2634156"/>
          <a:ext cx="1573908" cy="26222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a:t>MAX</a:t>
          </a:r>
          <a:r>
            <a:rPr lang="en-AU" sz="1200" baseline="0"/>
            <a:t> VS MIN SCORE </a:t>
          </a:r>
          <a:endParaRPr lang="en-AU" sz="1200"/>
        </a:p>
      </xdr:txBody>
    </xdr:sp>
    <xdr:clientData/>
  </xdr:twoCellAnchor>
  <mc:AlternateContent xmlns:mc="http://schemas.openxmlformats.org/markup-compatibility/2006">
    <mc:Choice xmlns:a14="http://schemas.microsoft.com/office/drawing/2010/main" Requires="a14">
      <xdr:twoCellAnchor editAs="oneCell">
        <xdr:from>
          <xdr:col>17</xdr:col>
          <xdr:colOff>184355</xdr:colOff>
          <xdr:row>1</xdr:row>
          <xdr:rowOff>184355</xdr:rowOff>
        </xdr:from>
        <xdr:to>
          <xdr:col>17</xdr:col>
          <xdr:colOff>576136</xdr:colOff>
          <xdr:row>3</xdr:row>
          <xdr:rowOff>54951</xdr:rowOff>
        </xdr:to>
        <xdr:pic>
          <xdr:nvPicPr>
            <xdr:cNvPr id="24" name="Picture 23">
              <a:extLst>
                <a:ext uri="{FF2B5EF4-FFF2-40B4-BE49-F238E27FC236}">
                  <a16:creationId xmlns:a16="http://schemas.microsoft.com/office/drawing/2014/main" id="{FD16CB18-0F30-858C-C981-6C6623613987}"/>
                </a:ext>
              </a:extLst>
            </xdr:cNvPr>
            <xdr:cNvPicPr>
              <a:picLocks noChangeAspect="1" noChangeArrowheads="1"/>
              <a:extLst>
                <a:ext uri="{84589F7E-364E-4C9E-8A38-B11213B215E9}">
                  <a14:cameraTool cellRange="HIGHEST!$A$4" spid="_x0000_s2562"/>
                </a:ext>
              </a:extLst>
            </xdr:cNvPicPr>
          </xdr:nvPicPr>
          <xdr:blipFill>
            <a:blip xmlns:r="http://schemas.openxmlformats.org/officeDocument/2006/relationships" r:embed="rId7"/>
            <a:srcRect/>
            <a:stretch>
              <a:fillRect/>
            </a:stretch>
          </xdr:blipFill>
          <xdr:spPr bwMode="auto">
            <a:xfrm>
              <a:off x="10631129" y="378952"/>
              <a:ext cx="391781" cy="25978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29710</xdr:colOff>
      <xdr:row>0</xdr:row>
      <xdr:rowOff>77756</xdr:rowOff>
    </xdr:from>
    <xdr:to>
      <xdr:col>12</xdr:col>
      <xdr:colOff>67195</xdr:colOff>
      <xdr:row>3</xdr:row>
      <xdr:rowOff>106914</xdr:rowOff>
    </xdr:to>
    <xdr:sp macro="" textlink="">
      <xdr:nvSpPr>
        <xdr:cNvPr id="31" name="Rectangle: Rounded Corners 30">
          <a:extLst>
            <a:ext uri="{FF2B5EF4-FFF2-40B4-BE49-F238E27FC236}">
              <a16:creationId xmlns:a16="http://schemas.microsoft.com/office/drawing/2014/main" id="{A53DDB39-0CD3-405A-9C2F-D52F2FE45098}"/>
            </a:ext>
          </a:extLst>
        </xdr:cNvPr>
        <xdr:cNvSpPr/>
      </xdr:nvSpPr>
      <xdr:spPr>
        <a:xfrm>
          <a:off x="6152924" y="77756"/>
          <a:ext cx="1262128" cy="612321"/>
        </a:xfrm>
        <a:prstGeom prst="roundRect">
          <a:avLst>
            <a:gd name="adj" fmla="val 23132"/>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AU" sz="1100"/>
        </a:p>
      </xdr:txBody>
    </xdr:sp>
    <xdr:clientData/>
  </xdr:twoCellAnchor>
  <mc:AlternateContent xmlns:mc="http://schemas.openxmlformats.org/markup-compatibility/2006">
    <mc:Choice xmlns:a14="http://schemas.microsoft.com/office/drawing/2010/main" Requires="a14">
      <xdr:twoCellAnchor editAs="oneCell">
        <xdr:from>
          <xdr:col>11</xdr:col>
          <xdr:colOff>87474</xdr:colOff>
          <xdr:row>2</xdr:row>
          <xdr:rowOff>0</xdr:rowOff>
        </xdr:from>
        <xdr:to>
          <xdr:col>12</xdr:col>
          <xdr:colOff>18078</xdr:colOff>
          <xdr:row>3</xdr:row>
          <xdr:rowOff>73867</xdr:rowOff>
        </xdr:to>
        <xdr:pic>
          <xdr:nvPicPr>
            <xdr:cNvPr id="33" name="Picture 32">
              <a:extLst>
                <a:ext uri="{FF2B5EF4-FFF2-40B4-BE49-F238E27FC236}">
                  <a16:creationId xmlns:a16="http://schemas.microsoft.com/office/drawing/2014/main" id="{78EBB699-28EF-5434-76A7-DCCB32DED75D}"/>
                </a:ext>
              </a:extLst>
            </xdr:cNvPr>
            <xdr:cNvPicPr>
              <a:picLocks noChangeAspect="1" noChangeArrowheads="1"/>
              <a:extLst>
                <a:ext uri="{84589F7E-364E-4C9E-8A38-B11213B215E9}">
                  <a14:cameraTool cellRange="Sheet10!$A$4" spid="_x0000_s2563"/>
                </a:ext>
              </a:extLst>
            </xdr:cNvPicPr>
          </xdr:nvPicPr>
          <xdr:blipFill>
            <a:blip xmlns:r="http://schemas.openxmlformats.org/officeDocument/2006/relationships" r:embed="rId8"/>
            <a:srcRect/>
            <a:stretch>
              <a:fillRect/>
            </a:stretch>
          </xdr:blipFill>
          <xdr:spPr bwMode="auto">
            <a:xfrm>
              <a:off x="6847151" y="389194"/>
              <a:ext cx="545121" cy="26846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77755</xdr:colOff>
          <xdr:row>2</xdr:row>
          <xdr:rowOff>1</xdr:rowOff>
        </xdr:from>
        <xdr:to>
          <xdr:col>11</xdr:col>
          <xdr:colOff>8358</xdr:colOff>
          <xdr:row>3</xdr:row>
          <xdr:rowOff>73869</xdr:rowOff>
        </xdr:to>
        <xdr:pic>
          <xdr:nvPicPr>
            <xdr:cNvPr id="34" name="Picture 33">
              <a:extLst>
                <a:ext uri="{FF2B5EF4-FFF2-40B4-BE49-F238E27FC236}">
                  <a16:creationId xmlns:a16="http://schemas.microsoft.com/office/drawing/2014/main" id="{88D28F15-604C-C29C-EB71-34CDEAEC09F2}"/>
                </a:ext>
              </a:extLst>
            </xdr:cNvPr>
            <xdr:cNvPicPr>
              <a:picLocks noChangeAspect="1" noChangeArrowheads="1"/>
              <a:extLst>
                <a:ext uri="{84589F7E-364E-4C9E-8A38-B11213B215E9}">
                  <a14:cameraTool cellRange="'Sheet10 (2)'!$A$4" spid="_x0000_s2564"/>
                </a:ext>
              </a:extLst>
            </xdr:cNvPicPr>
          </xdr:nvPicPr>
          <xdr:blipFill>
            <a:blip xmlns:r="http://schemas.openxmlformats.org/officeDocument/2006/relationships" r:embed="rId9"/>
            <a:srcRect/>
            <a:stretch>
              <a:fillRect/>
            </a:stretch>
          </xdr:blipFill>
          <xdr:spPr bwMode="auto">
            <a:xfrm>
              <a:off x="6222916" y="389195"/>
              <a:ext cx="545119" cy="26846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9</xdr:col>
      <xdr:colOff>204356</xdr:colOff>
      <xdr:row>0</xdr:row>
      <xdr:rowOff>99686</xdr:rowOff>
    </xdr:from>
    <xdr:to>
      <xdr:col>10</xdr:col>
      <xdr:colOff>97445</xdr:colOff>
      <xdr:row>3</xdr:row>
      <xdr:rowOff>81025</xdr:rowOff>
    </xdr:to>
    <xdr:pic>
      <xdr:nvPicPr>
        <xdr:cNvPr id="36" name="Graphic 35" descr="Man with solid fill">
          <a:extLst>
            <a:ext uri="{FF2B5EF4-FFF2-40B4-BE49-F238E27FC236}">
              <a16:creationId xmlns:a16="http://schemas.microsoft.com/office/drawing/2014/main" id="{22357B63-733E-0BE6-5D74-41F200ACDBE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699548" y="99686"/>
          <a:ext cx="503666" cy="567493"/>
        </a:xfrm>
        <a:prstGeom prst="rect">
          <a:avLst/>
        </a:prstGeom>
      </xdr:spPr>
    </xdr:pic>
    <xdr:clientData/>
  </xdr:twoCellAnchor>
  <xdr:twoCellAnchor editAs="oneCell">
    <xdr:from>
      <xdr:col>11</xdr:col>
      <xdr:colOff>578843</xdr:colOff>
      <xdr:row>0</xdr:row>
      <xdr:rowOff>97192</xdr:rowOff>
    </xdr:from>
    <xdr:to>
      <xdr:col>12</xdr:col>
      <xdr:colOff>554005</xdr:colOff>
      <xdr:row>3</xdr:row>
      <xdr:rowOff>97194</xdr:rowOff>
    </xdr:to>
    <xdr:pic>
      <xdr:nvPicPr>
        <xdr:cNvPr id="38" name="Graphic 37" descr="Woman with solid fill">
          <a:extLst>
            <a:ext uri="{FF2B5EF4-FFF2-40B4-BE49-F238E27FC236}">
              <a16:creationId xmlns:a16="http://schemas.microsoft.com/office/drawing/2014/main" id="{31BE77E4-0BC1-3D08-3AA8-C7E64F6D4B8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314379" y="97192"/>
          <a:ext cx="587483" cy="583165"/>
        </a:xfrm>
        <a:prstGeom prst="rect">
          <a:avLst/>
        </a:prstGeom>
      </xdr:spPr>
    </xdr:pic>
    <xdr:clientData/>
  </xdr:twoCellAnchor>
  <xdr:twoCellAnchor editAs="oneCell">
    <xdr:from>
      <xdr:col>14</xdr:col>
      <xdr:colOff>439464</xdr:colOff>
      <xdr:row>0</xdr:row>
      <xdr:rowOff>29158</xdr:rowOff>
    </xdr:from>
    <xdr:to>
      <xdr:col>15</xdr:col>
      <xdr:colOff>556875</xdr:colOff>
      <xdr:row>3</xdr:row>
      <xdr:rowOff>174950</xdr:rowOff>
    </xdr:to>
    <xdr:pic>
      <xdr:nvPicPr>
        <xdr:cNvPr id="40" name="Graphic 39" descr="Group with solid fill">
          <a:extLst>
            <a:ext uri="{FF2B5EF4-FFF2-40B4-BE49-F238E27FC236}">
              <a16:creationId xmlns:a16="http://schemas.microsoft.com/office/drawing/2014/main" id="{271C2C9C-89BB-900C-DA54-21486CC1C08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042690" y="29158"/>
          <a:ext cx="731927" cy="729582"/>
        </a:xfrm>
        <a:prstGeom prst="rect">
          <a:avLst/>
        </a:prstGeom>
      </xdr:spPr>
    </xdr:pic>
    <xdr:clientData/>
  </xdr:twoCellAnchor>
  <xdr:twoCellAnchor>
    <xdr:from>
      <xdr:col>11</xdr:col>
      <xdr:colOff>251538</xdr:colOff>
      <xdr:row>0</xdr:row>
      <xdr:rowOff>77013</xdr:rowOff>
    </xdr:from>
    <xdr:to>
      <xdr:col>11</xdr:col>
      <xdr:colOff>573444</xdr:colOff>
      <xdr:row>1</xdr:row>
      <xdr:rowOff>191336</xdr:rowOff>
    </xdr:to>
    <xdr:sp macro="" textlink="">
      <xdr:nvSpPr>
        <xdr:cNvPr id="14" name="Rectangle: Rounded Corners 13">
          <a:extLst>
            <a:ext uri="{FF2B5EF4-FFF2-40B4-BE49-F238E27FC236}">
              <a16:creationId xmlns:a16="http://schemas.microsoft.com/office/drawing/2014/main" id="{0A7B24A6-3B7A-4ED6-A494-A84D3AA9377B}"/>
            </a:ext>
          </a:extLst>
        </xdr:cNvPr>
        <xdr:cNvSpPr/>
      </xdr:nvSpPr>
      <xdr:spPr>
        <a:xfrm>
          <a:off x="6987074" y="77013"/>
          <a:ext cx="321906" cy="30871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a:effectLst/>
            </a:rPr>
            <a:t>F</a:t>
          </a:r>
        </a:p>
      </xdr:txBody>
    </xdr:sp>
    <xdr:clientData/>
  </xdr:twoCellAnchor>
  <xdr:twoCellAnchor>
    <xdr:from>
      <xdr:col>10</xdr:col>
      <xdr:colOff>122076</xdr:colOff>
      <xdr:row>0</xdr:row>
      <xdr:rowOff>83621</xdr:rowOff>
    </xdr:from>
    <xdr:to>
      <xdr:col>10</xdr:col>
      <xdr:colOff>443982</xdr:colOff>
      <xdr:row>2</xdr:row>
      <xdr:rowOff>3556</xdr:rowOff>
    </xdr:to>
    <xdr:sp macro="" textlink="">
      <xdr:nvSpPr>
        <xdr:cNvPr id="15" name="Rectangle: Rounded Corners 14">
          <a:extLst>
            <a:ext uri="{FF2B5EF4-FFF2-40B4-BE49-F238E27FC236}">
              <a16:creationId xmlns:a16="http://schemas.microsoft.com/office/drawing/2014/main" id="{18B71096-B395-4ECB-9901-7E531A4F27AE}"/>
            </a:ext>
          </a:extLst>
        </xdr:cNvPr>
        <xdr:cNvSpPr/>
      </xdr:nvSpPr>
      <xdr:spPr>
        <a:xfrm>
          <a:off x="6245290" y="83621"/>
          <a:ext cx="321906" cy="308711"/>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200">
              <a:effectLst/>
            </a:rPr>
            <a:t>M</a:t>
          </a:r>
        </a:p>
      </xdr:txBody>
    </xdr:sp>
    <xdr:clientData/>
  </xdr:twoCellAnchor>
  <xdr:twoCellAnchor>
    <xdr:from>
      <xdr:col>10</xdr:col>
      <xdr:colOff>416717</xdr:colOff>
      <xdr:row>5</xdr:row>
      <xdr:rowOff>166688</xdr:rowOff>
    </xdr:from>
    <xdr:to>
      <xdr:col>14</xdr:col>
      <xdr:colOff>523873</xdr:colOff>
      <xdr:row>15</xdr:row>
      <xdr:rowOff>95250</xdr:rowOff>
    </xdr:to>
    <xdr:graphicFrame macro="">
      <xdr:nvGraphicFramePr>
        <xdr:cNvPr id="16" name="Chart 1">
          <a:extLst>
            <a:ext uri="{FF2B5EF4-FFF2-40B4-BE49-F238E27FC236}">
              <a16:creationId xmlns:a16="http://schemas.microsoft.com/office/drawing/2014/main" id="{70353B93-E245-04DB-05F5-27BB58894F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12</xdr:col>
      <xdr:colOff>515126</xdr:colOff>
      <xdr:row>16</xdr:row>
      <xdr:rowOff>136072</xdr:rowOff>
    </xdr:from>
    <xdr:to>
      <xdr:col>14</xdr:col>
      <xdr:colOff>456811</xdr:colOff>
      <xdr:row>22</xdr:row>
      <xdr:rowOff>68038</xdr:rowOff>
    </xdr:to>
    <mc:AlternateContent xmlns:mc="http://schemas.openxmlformats.org/markup-compatibility/2006" xmlns:a14="http://schemas.microsoft.com/office/drawing/2010/main">
      <mc:Choice Requires="a14">
        <xdr:graphicFrame macro="">
          <xdr:nvGraphicFramePr>
            <xdr:cNvPr id="18" name="GENDER">
              <a:extLst>
                <a:ext uri="{FF2B5EF4-FFF2-40B4-BE49-F238E27FC236}">
                  <a16:creationId xmlns:a16="http://schemas.microsoft.com/office/drawing/2014/main" id="{8128790F-A0FC-40B7-81EB-BB285D03880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842049" y="3262226"/>
              <a:ext cx="1162839" cy="1104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389193</xdr:colOff>
      <xdr:row>24</xdr:row>
      <xdr:rowOff>81935</xdr:rowOff>
    </xdr:from>
    <xdr:to>
      <xdr:col>20</xdr:col>
      <xdr:colOff>553064</xdr:colOff>
      <xdr:row>36</xdr:row>
      <xdr:rowOff>10242</xdr:rowOff>
    </xdr:to>
    <xdr:graphicFrame macro="">
      <xdr:nvGraphicFramePr>
        <xdr:cNvPr id="5" name="Chart 1">
          <a:extLst>
            <a:ext uri="{FF2B5EF4-FFF2-40B4-BE49-F238E27FC236}">
              <a16:creationId xmlns:a16="http://schemas.microsoft.com/office/drawing/2014/main" id="{DE0A67D8-CF79-48FE-AAB4-F0AF76A815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51211</xdr:colOff>
      <xdr:row>24</xdr:row>
      <xdr:rowOff>102419</xdr:rowOff>
    </xdr:from>
    <xdr:to>
      <xdr:col>13</xdr:col>
      <xdr:colOff>235564</xdr:colOff>
      <xdr:row>36</xdr:row>
      <xdr:rowOff>10242</xdr:rowOff>
    </xdr:to>
    <mc:AlternateContent xmlns:mc="http://schemas.openxmlformats.org/markup-compatibility/2006">
      <mc:Choice xmlns:cx1="http://schemas.microsoft.com/office/drawing/2015/9/8/chartex" Requires="cx1">
        <xdr:graphicFrame macro="">
          <xdr:nvGraphicFramePr>
            <xdr:cNvPr id="7" name="Chart 2">
              <a:extLst>
                <a:ext uri="{FF2B5EF4-FFF2-40B4-BE49-F238E27FC236}">
                  <a16:creationId xmlns:a16="http://schemas.microsoft.com/office/drawing/2014/main" id="{553D340C-F254-4F33-BC0C-E66492AD2D6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4318411" y="4674419"/>
              <a:ext cx="3841953" cy="219382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rnard Doyi" refreshedDate="45696.184442939812" createdVersion="8" refreshedVersion="7" minRefreshableVersion="3" recordCount="78" xr:uid="{64005BD4-6D43-470B-BE9D-8341509CCB43}">
  <cacheSource type="worksheet">
    <worksheetSource name="DATA"/>
  </cacheSource>
  <cacheFields count="19">
    <cacheField name="NAME" numFmtId="0">
      <sharedItems count="78">
        <s v="ABDUL RASHIDA INAAYA"/>
        <s v="ADDO BETSY"/>
        <s v="ADDO-DANKWA K. AFIA"/>
        <s v="ADOMAH KWODWO EMMANUEL"/>
        <s v="ADU TIFFANY"/>
        <s v="AGYEMANG TWUMASI CHRISTIAN"/>
        <s v="AGYEMANG-BADU EMMANUELLA"/>
        <s v="AMENGOR MARK"/>
        <s v="AMISSAH-AIDOO REGINALD"/>
        <s v="AMOAKO ROLAND KOBBY"/>
        <s v="AYIDA DENNIS"/>
        <s v="AYIDA ISSABELLA "/>
        <s v="CHRIS PSALMS NHYIRA"/>
        <s v="HAFE ELINAM ELKA"/>
        <s v="IBN-UMAR MARZUQ"/>
        <s v="IBRAHIM SAANI MOHAMMEND"/>
        <s v="IGWE CARRISA"/>
        <s v="JAMES-KISSAW ELIZABETH"/>
        <s v="KLINOGO MAWUENA JOYCELIN"/>
        <s v="KONU ASEYE MAKADESH"/>
        <s v="LEDE ENAM LAUREN"/>
        <s v="LOGO OSEI KYLIE"/>
        <s v="ODOI YEMOH EZEKIEL"/>
        <s v="SIKAYENA YANKEY ADOM"/>
        <s v="TEI KUKUA DEDE"/>
        <s v="TEYE OMAN ELLIOT"/>
        <s v="TORVIKE PHILOTHEA"/>
        <s v="ABDULAI SAA-AD SUHINI"/>
        <s v="ADDO AWESOME"/>
        <s v="AGBOTER SHANIAH SHESHE"/>
        <s v="ALORWU ELIKPLIM"/>
        <s v="ALORWU ELINAM"/>
        <s v="ALU ANDREWS KWOFIE "/>
        <s v="AMPOFO SUSANA OHENEWAA"/>
        <s v="APPIAH SAMUEL FORDJOUR"/>
        <s v="BAKU KHARISSA"/>
        <s v="DARKO MARY"/>
        <s v="DAVOR MILDRED FAFALI"/>
        <s v="DOKU JONATHAN"/>
        <s v="FOSU BENAIAH POMEYI"/>
        <s v="HAFE KAYLA SHIKA"/>
        <s v="KONADU YIADOM NYAMENAYE"/>
        <s v="KPODO ELIUD OFOTSU"/>
        <s v="KWAO CALISTA"/>
        <s v="KWAO CHRISTIAN"/>
        <s v="MARTEY JUSTICE NII"/>
        <s v="MENSAH ADWOA OHENEWAA ANAAFI"/>
        <s v="MENSAH PHAEDRA"/>
        <s v="ODURO SIKA MAAME AKESE"/>
        <s v="OKLE FIIFI TEYE"/>
        <s v="OPAREBEA EUGENIA OPOKU SARPONG"/>
        <s v="OWUSU MAAME YAA MANSOWAA"/>
        <s v="ABOAGYE JAYDEN ANDERSON"/>
        <s v="AGBOWADA PRINCESS DELALI"/>
        <s v="AGYAPONG MARY ADWOA"/>
        <s v="AKABA SELINA"/>
        <s v="ALU EZRA KWOFIE"/>
        <s v="AMENGOR DENNIS"/>
        <s v="AMOAKO DAVID BADU KOFI"/>
        <s v="AMPONSAH FABIANA"/>
        <s v="ANDERSON ELIANA"/>
        <s v="ANYOMI RICHARD ASIOME"/>
        <s v="ASARE KOFI OBENG"/>
        <s v="ASIEDU CALEB"/>
        <s v="ATAMBIRE WISTON ANAMBIRE"/>
        <s v="AYARN ISSABELLA ALHASSAN"/>
        <s v="AYIDA MARKBIRTH"/>
        <s v="AYIN JOSE MANUEL"/>
        <s v="BAAH MELISA ENAM"/>
        <s v="BENNEH KYEREMEH CHRISTODIA"/>
        <s v="DOKU MICHELLE"/>
        <s v="GYANDU OTIS NATHAN"/>
        <s v="KORANKYE GILDA EWURABENA"/>
        <s v="MIRIAM NHYIRA AKUA BOACNIE"/>
        <s v="OWUSU NYAMEKYE EWURADWOA"/>
        <s v="QUARTEY JOHN-MARK"/>
        <s v="TAMAKLOE JAYDEN"/>
        <s v="TETTEH CORNELIUS KOFI NAGAI"/>
      </sharedItems>
    </cacheField>
    <cacheField name="TERM" numFmtId="0">
      <sharedItems containsSemiMixedTypes="0" containsString="0" containsNumber="1" containsInteger="1" minValue="1" maxValue="1"/>
    </cacheField>
    <cacheField name="GENDER" numFmtId="0">
      <sharedItems count="2">
        <s v="F"/>
        <s v="M"/>
      </sharedItems>
    </cacheField>
    <cacheField name="BASIC" numFmtId="0">
      <sharedItems containsSemiMixedTypes="0" containsString="0" containsNumber="1" containsInteger="1" minValue="1" maxValue="3" count="3">
        <n v="3"/>
        <n v="1"/>
        <n v="2"/>
      </sharedItems>
    </cacheField>
    <cacheField name="MATH" numFmtId="0">
      <sharedItems containsSemiMixedTypes="0" containsString="0" containsNumber="1" containsInteger="1" minValue="60" maxValue="99"/>
    </cacheField>
    <cacheField name="ENGLISH" numFmtId="0">
      <sharedItems containsSemiMixedTypes="0" containsString="0" containsNumber="1" containsInteger="1" minValue="63" maxValue="99"/>
    </cacheField>
    <cacheField name="SCIENCE" numFmtId="0">
      <sharedItems containsSemiMixedTypes="0" containsString="0" containsNumber="1" containsInteger="1" minValue="63" maxValue="98"/>
    </cacheField>
    <cacheField name="OWOP" numFmtId="0">
      <sharedItems containsSemiMixedTypes="0" containsString="0" containsNumber="1" containsInteger="1" minValue="48" maxValue="99"/>
    </cacheField>
    <cacheField name="RME " numFmtId="0">
      <sharedItems containsSemiMixedTypes="0" containsString="0" containsNumber="1" minValue="65.2" maxValue="99.2"/>
    </cacheField>
    <cacheField name="COMPUTING" numFmtId="0">
      <sharedItems containsSemiMixedTypes="0" containsString="0" containsNumber="1" containsInteger="1" minValue="52" maxValue="95"/>
    </cacheField>
    <cacheField name="FRENCH" numFmtId="0">
      <sharedItems containsSemiMixedTypes="0" containsString="0" containsNumber="1" minValue="40" maxValue="100"/>
    </cacheField>
    <cacheField name="HISTORY" numFmtId="0">
      <sharedItems containsSemiMixedTypes="0" containsString="0" containsNumber="1" containsInteger="1" minValue="61" maxValue="98"/>
    </cacheField>
    <cacheField name="TWI" numFmtId="0">
      <sharedItems containsSemiMixedTypes="0" containsString="0" containsNumber="1" minValue="10" maxValue="98.2"/>
    </cacheField>
    <cacheField name="CA" numFmtId="0">
      <sharedItems containsSemiMixedTypes="0" containsString="0" containsNumber="1" minValue="52.4" maxValue="99.3"/>
    </cacheField>
    <cacheField name="TOTAL (800)" numFmtId="0">
      <sharedItems containsSemiMixedTypes="0" containsString="0" containsNumber="1" containsInteger="1" minValue="658" maxValue="965"/>
    </cacheField>
    <cacheField name="AVG SCORE" numFmtId="0">
      <sharedItems containsSemiMixedTypes="0" containsString="0" containsNumber="1" containsInteger="1" minValue="66" maxValue="96"/>
    </cacheField>
    <cacheField name="ATTENDANCE" numFmtId="0">
      <sharedItems containsSemiMixedTypes="0" containsString="0" containsNumber="1" containsInteger="1" minValue="30" maxValue="60"/>
    </cacheField>
    <cacheField name="NEED HELP" numFmtId="0">
      <sharedItems/>
    </cacheField>
    <cacheField name="PASS RATE" numFmtId="0">
      <sharedItems count="3">
        <s v="PASS"/>
        <s v="FAIL"/>
        <e v="#VALUE!" u="1"/>
      </sharedItems>
    </cacheField>
  </cacheFields>
  <extLst>
    <ext xmlns:x14="http://schemas.microsoft.com/office/spreadsheetml/2009/9/main" uri="{725AE2AE-9491-48be-B2B4-4EB974FC3084}">
      <x14:pivotCacheDefinition pivotCacheId="12454213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x v="0"/>
    <x v="0"/>
    <n v="98"/>
    <n v="97"/>
    <n v="93"/>
    <n v="97"/>
    <n v="93"/>
    <n v="95"/>
    <n v="92.5"/>
    <n v="95"/>
    <n v="86.4"/>
    <n v="82.9"/>
    <n v="930"/>
    <n v="93"/>
    <n v="60"/>
    <s v=""/>
    <x v="0"/>
  </r>
  <r>
    <x v="1"/>
    <n v="1"/>
    <x v="0"/>
    <x v="0"/>
    <n v="79"/>
    <n v="88"/>
    <n v="88"/>
    <n v="86"/>
    <n v="75.400000000000006"/>
    <n v="79"/>
    <n v="84.5"/>
    <n v="84"/>
    <n v="87.7"/>
    <n v="68.400000000000006"/>
    <n v="820"/>
    <n v="82"/>
    <n v="60"/>
    <s v=""/>
    <x v="0"/>
  </r>
  <r>
    <x v="2"/>
    <n v="1"/>
    <x v="0"/>
    <x v="0"/>
    <n v="90"/>
    <n v="90"/>
    <n v="83"/>
    <n v="86"/>
    <n v="92.8"/>
    <n v="81"/>
    <n v="83"/>
    <n v="91"/>
    <n v="83.3"/>
    <n v="78.099999999999994"/>
    <n v="858"/>
    <n v="86"/>
    <n v="59"/>
    <s v=""/>
    <x v="0"/>
  </r>
  <r>
    <x v="3"/>
    <n v="1"/>
    <x v="1"/>
    <x v="0"/>
    <n v="83"/>
    <n v="83"/>
    <n v="86"/>
    <n v="91"/>
    <n v="84.2"/>
    <n v="82"/>
    <n v="92.5"/>
    <n v="93"/>
    <n v="88.3"/>
    <n v="71.400000000000006"/>
    <n v="854"/>
    <n v="85"/>
    <n v="58"/>
    <s v=""/>
    <x v="0"/>
  </r>
  <r>
    <x v="4"/>
    <n v="1"/>
    <x v="0"/>
    <x v="0"/>
    <n v="83"/>
    <n v="87"/>
    <n v="85"/>
    <n v="91"/>
    <n v="84.6"/>
    <n v="82"/>
    <n v="79"/>
    <n v="86"/>
    <n v="71.099999999999994"/>
    <n v="72.5"/>
    <n v="821"/>
    <n v="82"/>
    <n v="60"/>
    <s v=""/>
    <x v="0"/>
  </r>
  <r>
    <x v="5"/>
    <n v="1"/>
    <x v="1"/>
    <x v="0"/>
    <n v="87"/>
    <n v="96"/>
    <n v="92"/>
    <n v="90"/>
    <n v="93"/>
    <n v="90"/>
    <n v="84.5"/>
    <n v="88"/>
    <n v="95.6"/>
    <n v="98"/>
    <n v="914"/>
    <n v="91"/>
    <n v="60"/>
    <s v=""/>
    <x v="0"/>
  </r>
  <r>
    <x v="6"/>
    <n v="1"/>
    <x v="0"/>
    <x v="0"/>
    <n v="97"/>
    <n v="93"/>
    <n v="91"/>
    <n v="97"/>
    <n v="95"/>
    <n v="91"/>
    <n v="97.5"/>
    <n v="96"/>
    <n v="93"/>
    <n v="76.5"/>
    <n v="927"/>
    <n v="93"/>
    <n v="60"/>
    <s v=""/>
    <x v="0"/>
  </r>
  <r>
    <x v="7"/>
    <n v="1"/>
    <x v="1"/>
    <x v="0"/>
    <n v="82"/>
    <n v="89"/>
    <n v="73"/>
    <n v="91"/>
    <n v="86.2"/>
    <n v="84"/>
    <n v="87.5"/>
    <n v="88"/>
    <n v="80.599999999999994"/>
    <n v="78.8"/>
    <n v="840"/>
    <n v="84"/>
    <n v="60"/>
    <s v=""/>
    <x v="0"/>
  </r>
  <r>
    <x v="8"/>
    <n v="1"/>
    <x v="1"/>
    <x v="0"/>
    <n v="97"/>
    <n v="96"/>
    <n v="93"/>
    <n v="97"/>
    <n v="93.6"/>
    <n v="91"/>
    <n v="83.5"/>
    <n v="94"/>
    <n v="81.2"/>
    <n v="69.5"/>
    <n v="896"/>
    <n v="90"/>
    <n v="57"/>
    <s v=""/>
    <x v="0"/>
  </r>
  <r>
    <x v="9"/>
    <n v="1"/>
    <x v="1"/>
    <x v="0"/>
    <n v="88"/>
    <n v="79"/>
    <n v="82"/>
    <n v="58"/>
    <n v="76.3"/>
    <n v="80"/>
    <n v="70.5"/>
    <n v="85"/>
    <n v="92.1"/>
    <n v="91.9"/>
    <n v="803"/>
    <n v="80"/>
    <n v="58"/>
    <s v=""/>
    <x v="0"/>
  </r>
  <r>
    <x v="10"/>
    <n v="1"/>
    <x v="1"/>
    <x v="0"/>
    <n v="85"/>
    <n v="77"/>
    <n v="71"/>
    <n v="48"/>
    <n v="66.900000000000006"/>
    <n v="78"/>
    <n v="78"/>
    <n v="81"/>
    <n v="69.099999999999994"/>
    <n v="74.5"/>
    <n v="729"/>
    <n v="73"/>
    <n v="54"/>
    <s v=""/>
    <x v="0"/>
  </r>
  <r>
    <x v="11"/>
    <n v="1"/>
    <x v="0"/>
    <x v="0"/>
    <n v="86"/>
    <n v="91"/>
    <n v="80"/>
    <n v="93"/>
    <n v="83.5"/>
    <n v="87"/>
    <n v="87.5"/>
    <n v="92"/>
    <n v="90"/>
    <n v="85.6"/>
    <n v="876"/>
    <n v="88"/>
    <n v="56"/>
    <s v=""/>
    <x v="0"/>
  </r>
  <r>
    <x v="12"/>
    <n v="1"/>
    <x v="1"/>
    <x v="0"/>
    <n v="96"/>
    <n v="89"/>
    <n v="72"/>
    <n v="94"/>
    <n v="87.1"/>
    <n v="86"/>
    <n v="90"/>
    <n v="94"/>
    <n v="89.2"/>
    <n v="72.5"/>
    <n v="870"/>
    <n v="87"/>
    <n v="45"/>
    <s v=""/>
    <x v="0"/>
  </r>
  <r>
    <x v="13"/>
    <n v="1"/>
    <x v="0"/>
    <x v="0"/>
    <n v="88"/>
    <n v="91"/>
    <n v="83"/>
    <n v="85"/>
    <n v="87.8"/>
    <n v="82"/>
    <n v="92.5"/>
    <n v="85"/>
    <n v="93.3"/>
    <n v="73.5"/>
    <n v="861"/>
    <n v="86"/>
    <n v="60"/>
    <s v=""/>
    <x v="0"/>
  </r>
  <r>
    <x v="14"/>
    <n v="1"/>
    <x v="1"/>
    <x v="0"/>
    <n v="82"/>
    <n v="78"/>
    <n v="76"/>
    <n v="92"/>
    <n v="78.2"/>
    <n v="60"/>
    <n v="80.5"/>
    <n v="81"/>
    <n v="82.7"/>
    <n v="67.599999999999994"/>
    <n v="778"/>
    <n v="78"/>
    <n v="47"/>
    <s v=""/>
    <x v="0"/>
  </r>
  <r>
    <x v="15"/>
    <n v="1"/>
    <x v="1"/>
    <x v="0"/>
    <n v="80"/>
    <n v="73"/>
    <n v="73"/>
    <n v="76"/>
    <n v="74.7"/>
    <n v="75"/>
    <n v="75"/>
    <n v="87"/>
    <n v="76.8"/>
    <n v="72.2"/>
    <n v="763"/>
    <n v="76"/>
    <n v="45"/>
    <s v=""/>
    <x v="0"/>
  </r>
  <r>
    <x v="16"/>
    <n v="1"/>
    <x v="0"/>
    <x v="0"/>
    <n v="79"/>
    <n v="90"/>
    <n v="80"/>
    <n v="80"/>
    <n v="72.2"/>
    <n v="85"/>
    <n v="93"/>
    <n v="88"/>
    <n v="79.2"/>
    <n v="78.400000000000006"/>
    <n v="825"/>
    <n v="82"/>
    <n v="48"/>
    <s v=""/>
    <x v="0"/>
  </r>
  <r>
    <x v="17"/>
    <n v="1"/>
    <x v="0"/>
    <x v="0"/>
    <n v="86"/>
    <n v="93"/>
    <n v="87"/>
    <n v="84"/>
    <n v="85"/>
    <n v="82"/>
    <n v="77"/>
    <n v="90"/>
    <n v="85.2"/>
    <n v="89.5"/>
    <n v="859"/>
    <n v="86"/>
    <n v="56"/>
    <s v=""/>
    <x v="0"/>
  </r>
  <r>
    <x v="18"/>
    <n v="1"/>
    <x v="0"/>
    <x v="0"/>
    <n v="97"/>
    <n v="97"/>
    <n v="92"/>
    <n v="96"/>
    <n v="89.7"/>
    <n v="84"/>
    <n v="96.7"/>
    <n v="91"/>
    <n v="98.2"/>
    <n v="88.3"/>
    <n v="930"/>
    <n v="93"/>
    <n v="60"/>
    <s v=""/>
    <x v="0"/>
  </r>
  <r>
    <x v="19"/>
    <n v="1"/>
    <x v="0"/>
    <x v="0"/>
    <n v="85"/>
    <n v="81"/>
    <n v="78"/>
    <n v="60"/>
    <n v="68.8"/>
    <n v="75"/>
    <n v="82.5"/>
    <n v="79"/>
    <n v="77.599999999999994"/>
    <n v="80"/>
    <n v="767"/>
    <n v="77"/>
    <n v="58"/>
    <s v=""/>
    <x v="0"/>
  </r>
  <r>
    <x v="20"/>
    <n v="1"/>
    <x v="0"/>
    <x v="0"/>
    <n v="78"/>
    <n v="72"/>
    <n v="68"/>
    <n v="70"/>
    <n v="65.2"/>
    <n v="70"/>
    <n v="93"/>
    <n v="79"/>
    <n v="78.5"/>
    <n v="59.5"/>
    <n v="733"/>
    <n v="73"/>
    <n v="59"/>
    <s v=""/>
    <x v="0"/>
  </r>
  <r>
    <x v="21"/>
    <n v="1"/>
    <x v="0"/>
    <x v="0"/>
    <n v="93"/>
    <n v="94"/>
    <n v="91"/>
    <n v="97"/>
    <n v="90.9"/>
    <n v="93"/>
    <n v="100"/>
    <n v="98"/>
    <n v="63.1"/>
    <n v="55"/>
    <n v="875"/>
    <n v="88"/>
    <n v="57"/>
    <s v=""/>
    <x v="0"/>
  </r>
  <r>
    <x v="22"/>
    <n v="1"/>
    <x v="1"/>
    <x v="0"/>
    <n v="84"/>
    <n v="83"/>
    <n v="75"/>
    <n v="81"/>
    <n v="84"/>
    <n v="72"/>
    <n v="67"/>
    <n v="84"/>
    <n v="87"/>
    <n v="76.2"/>
    <n v="793"/>
    <n v="79"/>
    <n v="52"/>
    <s v=""/>
    <x v="0"/>
  </r>
  <r>
    <x v="23"/>
    <n v="1"/>
    <x v="1"/>
    <x v="0"/>
    <n v="95"/>
    <n v="92"/>
    <n v="91"/>
    <n v="94"/>
    <n v="94.6"/>
    <n v="88"/>
    <n v="99"/>
    <n v="94"/>
    <n v="95.2"/>
    <n v="99"/>
    <n v="942"/>
    <n v="94"/>
    <n v="51"/>
    <s v=""/>
    <x v="0"/>
  </r>
  <r>
    <x v="24"/>
    <n v="1"/>
    <x v="0"/>
    <x v="0"/>
    <n v="88"/>
    <n v="93"/>
    <n v="81"/>
    <n v="80"/>
    <n v="81.5"/>
    <n v="88"/>
    <n v="87.7"/>
    <n v="86"/>
    <n v="87"/>
    <n v="75.599999999999994"/>
    <n v="848"/>
    <n v="85"/>
    <n v="54"/>
    <s v=""/>
    <x v="0"/>
  </r>
  <r>
    <x v="25"/>
    <n v="1"/>
    <x v="1"/>
    <x v="0"/>
    <n v="92"/>
    <n v="90"/>
    <n v="86"/>
    <n v="76"/>
    <n v="69.900000000000006"/>
    <n v="84"/>
    <n v="77"/>
    <n v="80"/>
    <n v="78.8"/>
    <n v="70.900000000000006"/>
    <n v="805"/>
    <n v="80"/>
    <n v="49"/>
    <s v=""/>
    <x v="0"/>
  </r>
  <r>
    <x v="26"/>
    <n v="1"/>
    <x v="0"/>
    <x v="0"/>
    <n v="84"/>
    <n v="83"/>
    <n v="76"/>
    <n v="81"/>
    <n v="85.4"/>
    <n v="74"/>
    <n v="93"/>
    <n v="77"/>
    <n v="85.2"/>
    <n v="68.8"/>
    <n v="807"/>
    <n v="81"/>
    <n v="45"/>
    <s v=""/>
    <x v="0"/>
  </r>
  <r>
    <x v="27"/>
    <n v="1"/>
    <x v="1"/>
    <x v="1"/>
    <n v="79"/>
    <n v="78"/>
    <n v="82"/>
    <n v="74"/>
    <n v="71.300000000000011"/>
    <n v="84"/>
    <n v="55"/>
    <n v="92"/>
    <n v="10"/>
    <n v="95.7"/>
    <n v="721"/>
    <n v="72"/>
    <n v="58"/>
    <s v=""/>
    <x v="0"/>
  </r>
  <r>
    <x v="28"/>
    <n v="1"/>
    <x v="1"/>
    <x v="1"/>
    <n v="74"/>
    <n v="83"/>
    <n v="75"/>
    <n v="89"/>
    <n v="78.400000000000006"/>
    <n v="68"/>
    <n v="83"/>
    <n v="91"/>
    <n v="66.599999999999994"/>
    <n v="82.2"/>
    <n v="790"/>
    <n v="79"/>
    <n v="60"/>
    <s v=""/>
    <x v="0"/>
  </r>
  <r>
    <x v="29"/>
    <n v="1"/>
    <x v="0"/>
    <x v="1"/>
    <n v="74"/>
    <n v="80"/>
    <n v="81"/>
    <n v="68"/>
    <n v="87.1"/>
    <n v="83"/>
    <n v="79.5"/>
    <n v="77"/>
    <n v="62.4"/>
    <n v="97.3"/>
    <n v="789"/>
    <n v="79"/>
    <n v="58"/>
    <s v=""/>
    <x v="0"/>
  </r>
  <r>
    <x v="30"/>
    <n v="1"/>
    <x v="1"/>
    <x v="1"/>
    <n v="89"/>
    <n v="93"/>
    <n v="93"/>
    <n v="91"/>
    <n v="96.1"/>
    <n v="76"/>
    <n v="90"/>
    <n v="71"/>
    <n v="72.8"/>
    <n v="95.3"/>
    <n v="867"/>
    <n v="87"/>
    <n v="57"/>
    <s v=""/>
    <x v="0"/>
  </r>
  <r>
    <x v="31"/>
    <n v="1"/>
    <x v="0"/>
    <x v="1"/>
    <n v="85"/>
    <n v="88"/>
    <n v="92"/>
    <n v="80"/>
    <n v="93.6"/>
    <n v="80"/>
    <n v="90"/>
    <n v="75"/>
    <n v="70.2"/>
    <n v="95.7"/>
    <n v="850"/>
    <n v="85"/>
    <n v="41"/>
    <s v=""/>
    <x v="0"/>
  </r>
  <r>
    <x v="32"/>
    <n v="1"/>
    <x v="1"/>
    <x v="1"/>
    <n v="86"/>
    <n v="88"/>
    <n v="82"/>
    <n v="84"/>
    <n v="92"/>
    <n v="75"/>
    <n v="94"/>
    <n v="86"/>
    <n v="65.2"/>
    <n v="94.4"/>
    <n v="847"/>
    <n v="85"/>
    <n v="60"/>
    <s v=""/>
    <x v="0"/>
  </r>
  <r>
    <x v="33"/>
    <n v="1"/>
    <x v="0"/>
    <x v="1"/>
    <n v="96"/>
    <n v="98"/>
    <n v="97"/>
    <n v="82"/>
    <n v="97.1"/>
    <n v="87"/>
    <n v="97.5"/>
    <n v="72"/>
    <n v="83.6"/>
    <n v="97"/>
    <n v="907"/>
    <n v="91"/>
    <n v="59"/>
    <s v=""/>
    <x v="0"/>
  </r>
  <r>
    <x v="34"/>
    <n v="1"/>
    <x v="1"/>
    <x v="1"/>
    <n v="87"/>
    <n v="88"/>
    <n v="86"/>
    <n v="76"/>
    <n v="88.100000000000009"/>
    <n v="86"/>
    <n v="87"/>
    <n v="95"/>
    <n v="71.599999999999994"/>
    <n v="95.3"/>
    <n v="860"/>
    <n v="86"/>
    <n v="58"/>
    <s v=""/>
    <x v="0"/>
  </r>
  <r>
    <x v="35"/>
    <n v="1"/>
    <x v="0"/>
    <x v="1"/>
    <n v="80"/>
    <n v="83"/>
    <n v="90"/>
    <n v="81"/>
    <n v="80.5"/>
    <n v="75"/>
    <n v="93.5"/>
    <n v="82"/>
    <n v="70.599999999999994"/>
    <n v="93.2"/>
    <n v="829"/>
    <n v="83"/>
    <n v="43"/>
    <s v=""/>
    <x v="0"/>
  </r>
  <r>
    <x v="36"/>
    <n v="1"/>
    <x v="0"/>
    <x v="1"/>
    <n v="81"/>
    <n v="91"/>
    <n v="80"/>
    <n v="90"/>
    <n v="84.5"/>
    <n v="75"/>
    <n v="76.5"/>
    <n v="75"/>
    <n v="77.599999999999994"/>
    <n v="89.9"/>
    <n v="821"/>
    <n v="82"/>
    <n v="46"/>
    <s v=""/>
    <x v="0"/>
  </r>
  <r>
    <x v="37"/>
    <n v="1"/>
    <x v="0"/>
    <x v="1"/>
    <n v="95"/>
    <n v="98"/>
    <n v="93"/>
    <n v="86"/>
    <n v="94.9"/>
    <n v="89"/>
    <n v="91"/>
    <n v="87"/>
    <n v="82.2"/>
    <n v="97.4"/>
    <n v="914"/>
    <n v="91"/>
    <n v="33"/>
    <s v=""/>
    <x v="0"/>
  </r>
  <r>
    <x v="38"/>
    <n v="1"/>
    <x v="1"/>
    <x v="1"/>
    <n v="80"/>
    <n v="88"/>
    <n v="89"/>
    <n v="84"/>
    <n v="86.5"/>
    <n v="79"/>
    <n v="83"/>
    <n v="85"/>
    <n v="63.4"/>
    <n v="88.7"/>
    <n v="827"/>
    <n v="83"/>
    <n v="60"/>
    <s v=""/>
    <x v="0"/>
  </r>
  <r>
    <x v="39"/>
    <n v="1"/>
    <x v="1"/>
    <x v="1"/>
    <n v="96"/>
    <n v="99"/>
    <n v="93"/>
    <n v="67"/>
    <n v="98.7"/>
    <n v="94"/>
    <n v="100"/>
    <n v="80"/>
    <n v="87.4"/>
    <n v="95.1"/>
    <n v="910"/>
    <n v="91"/>
    <n v="34"/>
    <s v=""/>
    <x v="0"/>
  </r>
  <r>
    <x v="40"/>
    <n v="1"/>
    <x v="0"/>
    <x v="1"/>
    <n v="95"/>
    <n v="98"/>
    <n v="87"/>
    <n v="76"/>
    <n v="94.5"/>
    <n v="79"/>
    <n v="100"/>
    <n v="80"/>
    <n v="79"/>
    <n v="96.8"/>
    <n v="885"/>
    <n v="89"/>
    <n v="42"/>
    <s v=""/>
    <x v="0"/>
  </r>
  <r>
    <x v="41"/>
    <n v="1"/>
    <x v="0"/>
    <x v="1"/>
    <n v="98"/>
    <n v="99"/>
    <n v="97"/>
    <n v="92"/>
    <n v="99"/>
    <n v="87"/>
    <n v="97.5"/>
    <n v="80"/>
    <n v="88.6"/>
    <n v="99.3"/>
    <n v="937"/>
    <n v="94"/>
    <n v="59"/>
    <s v=""/>
    <x v="0"/>
  </r>
  <r>
    <x v="42"/>
    <n v="1"/>
    <x v="1"/>
    <x v="1"/>
    <n v="89"/>
    <n v="90"/>
    <n v="87"/>
    <n v="77"/>
    <n v="88.1"/>
    <n v="81"/>
    <n v="74"/>
    <n v="70"/>
    <n v="82"/>
    <n v="96.3"/>
    <n v="834"/>
    <n v="83"/>
    <n v="36"/>
    <s v=""/>
    <x v="0"/>
  </r>
  <r>
    <x v="43"/>
    <n v="1"/>
    <x v="0"/>
    <x v="1"/>
    <n v="80"/>
    <n v="88"/>
    <n v="89"/>
    <n v="73"/>
    <n v="93.4"/>
    <n v="74"/>
    <n v="95.5"/>
    <n v="70"/>
    <n v="60.4"/>
    <n v="93"/>
    <n v="816"/>
    <n v="82"/>
    <n v="49"/>
    <s v=""/>
    <x v="0"/>
  </r>
  <r>
    <x v="44"/>
    <n v="1"/>
    <x v="1"/>
    <x v="1"/>
    <n v="72"/>
    <n v="71"/>
    <n v="63"/>
    <n v="89"/>
    <n v="78.400000000000006"/>
    <n v="54"/>
    <n v="82"/>
    <n v="69"/>
    <n v="56"/>
    <n v="84.4"/>
    <n v="719"/>
    <n v="72"/>
    <n v="58"/>
    <s v=""/>
    <x v="0"/>
  </r>
  <r>
    <x v="45"/>
    <n v="1"/>
    <x v="1"/>
    <x v="1"/>
    <n v="90"/>
    <n v="91"/>
    <n v="89"/>
    <n v="91"/>
    <n v="92.1"/>
    <n v="84"/>
    <n v="95.5"/>
    <n v="91"/>
    <n v="81.599999999999994"/>
    <n v="96.9"/>
    <n v="902"/>
    <n v="90"/>
    <n v="31"/>
    <s v=""/>
    <x v="0"/>
  </r>
  <r>
    <x v="46"/>
    <n v="1"/>
    <x v="0"/>
    <x v="1"/>
    <n v="92"/>
    <n v="99"/>
    <n v="95"/>
    <n v="83"/>
    <n v="97.9"/>
    <n v="92"/>
    <n v="95.5"/>
    <n v="79"/>
    <n v="79.8"/>
    <n v="95.2"/>
    <n v="908"/>
    <n v="91"/>
    <n v="34"/>
    <s v=""/>
    <x v="0"/>
  </r>
  <r>
    <x v="47"/>
    <n v="1"/>
    <x v="0"/>
    <x v="1"/>
    <n v="91"/>
    <n v="90"/>
    <n v="92"/>
    <n v="76"/>
    <n v="96.600000000000009"/>
    <n v="84"/>
    <n v="97.5"/>
    <n v="73"/>
    <n v="76.599999999999994"/>
    <n v="94.6"/>
    <n v="871"/>
    <n v="87"/>
    <n v="31"/>
    <s v=""/>
    <x v="0"/>
  </r>
  <r>
    <x v="48"/>
    <n v="1"/>
    <x v="0"/>
    <x v="1"/>
    <n v="93"/>
    <n v="99"/>
    <n v="98"/>
    <n v="81"/>
    <n v="98.5"/>
    <n v="91"/>
    <n v="100"/>
    <n v="81"/>
    <n v="83"/>
    <n v="94.6"/>
    <n v="919"/>
    <n v="92"/>
    <n v="37"/>
    <s v=""/>
    <x v="0"/>
  </r>
  <r>
    <x v="49"/>
    <n v="1"/>
    <x v="1"/>
    <x v="1"/>
    <n v="77"/>
    <n v="74"/>
    <n v="72"/>
    <n v="93"/>
    <n v="92.5"/>
    <n v="87"/>
    <n v="81"/>
    <n v="89"/>
    <n v="53"/>
    <n v="75.8"/>
    <n v="794"/>
    <n v="79"/>
    <n v="47"/>
    <s v=""/>
    <x v="0"/>
  </r>
  <r>
    <x v="50"/>
    <n v="1"/>
    <x v="0"/>
    <x v="1"/>
    <n v="90"/>
    <n v="91"/>
    <n v="93"/>
    <n v="81"/>
    <n v="93.7"/>
    <n v="81"/>
    <n v="81.5"/>
    <n v="76"/>
    <n v="73.599999999999994"/>
    <n v="97.8"/>
    <n v="859"/>
    <n v="86"/>
    <n v="49"/>
    <s v=""/>
    <x v="0"/>
  </r>
  <r>
    <x v="51"/>
    <n v="1"/>
    <x v="0"/>
    <x v="1"/>
    <n v="79"/>
    <n v="89"/>
    <n v="89"/>
    <n v="78"/>
    <n v="90.5"/>
    <n v="76"/>
    <n v="81.5"/>
    <n v="84"/>
    <n v="84.4"/>
    <n v="96.2"/>
    <n v="848"/>
    <n v="85"/>
    <n v="47"/>
    <s v=""/>
    <x v="0"/>
  </r>
  <r>
    <x v="52"/>
    <n v="1"/>
    <x v="1"/>
    <x v="2"/>
    <n v="69"/>
    <n v="63"/>
    <n v="66"/>
    <n v="78"/>
    <n v="66.099999999999994"/>
    <n v="52"/>
    <n v="70"/>
    <n v="64"/>
    <n v="77.5"/>
    <n v="52.4"/>
    <n v="658"/>
    <n v="66"/>
    <n v="59"/>
    <s v="HELP"/>
    <x v="1"/>
  </r>
  <r>
    <x v="53"/>
    <n v="1"/>
    <x v="0"/>
    <x v="2"/>
    <n v="93"/>
    <n v="95"/>
    <n v="94"/>
    <n v="91"/>
    <n v="90"/>
    <n v="79"/>
    <n v="89.5"/>
    <n v="92"/>
    <n v="97.9"/>
    <n v="88.1"/>
    <n v="910"/>
    <n v="91"/>
    <n v="52"/>
    <s v=""/>
    <x v="0"/>
  </r>
  <r>
    <x v="54"/>
    <n v="1"/>
    <x v="0"/>
    <x v="2"/>
    <n v="97"/>
    <n v="98"/>
    <n v="96"/>
    <n v="98"/>
    <n v="95.4"/>
    <n v="84"/>
    <n v="99.6"/>
    <n v="92"/>
    <n v="91.8"/>
    <n v="85.1"/>
    <n v="937"/>
    <n v="94"/>
    <n v="34"/>
    <s v=""/>
    <x v="0"/>
  </r>
  <r>
    <x v="55"/>
    <n v="1"/>
    <x v="0"/>
    <x v="2"/>
    <n v="68"/>
    <n v="71"/>
    <n v="73"/>
    <n v="79"/>
    <n v="76.7"/>
    <n v="66"/>
    <n v="74.5"/>
    <n v="61"/>
    <n v="79.099999999999994"/>
    <n v="87.5"/>
    <n v="736"/>
    <n v="74"/>
    <n v="41"/>
    <s v=""/>
    <x v="0"/>
  </r>
  <r>
    <x v="56"/>
    <n v="1"/>
    <x v="1"/>
    <x v="2"/>
    <n v="97"/>
    <n v="97"/>
    <n v="92"/>
    <n v="96"/>
    <n v="95.5"/>
    <n v="85"/>
    <n v="93"/>
    <n v="89"/>
    <n v="90.4"/>
    <n v="86.8"/>
    <n v="922"/>
    <n v="92"/>
    <n v="38"/>
    <s v=""/>
    <x v="0"/>
  </r>
  <r>
    <x v="57"/>
    <n v="1"/>
    <x v="1"/>
    <x v="2"/>
    <n v="61"/>
    <n v="82"/>
    <n v="73"/>
    <n v="77"/>
    <n v="85.2"/>
    <n v="76"/>
    <n v="65"/>
    <n v="72"/>
    <n v="62.4"/>
    <n v="74.5"/>
    <n v="728"/>
    <n v="73"/>
    <n v="56"/>
    <s v=""/>
    <x v="0"/>
  </r>
  <r>
    <x v="58"/>
    <n v="1"/>
    <x v="1"/>
    <x v="2"/>
    <n v="75"/>
    <n v="82"/>
    <n v="88"/>
    <n v="88"/>
    <n v="88.3"/>
    <n v="74"/>
    <n v="85.5"/>
    <n v="77"/>
    <n v="86"/>
    <n v="80.3"/>
    <n v="824"/>
    <n v="82"/>
    <n v="44"/>
    <s v=""/>
    <x v="0"/>
  </r>
  <r>
    <x v="59"/>
    <n v="1"/>
    <x v="0"/>
    <x v="2"/>
    <n v="73"/>
    <n v="77"/>
    <n v="74"/>
    <n v="81"/>
    <n v="72"/>
    <n v="64"/>
    <n v="82"/>
    <n v="77"/>
    <n v="82.9"/>
    <n v="79.400000000000006"/>
    <n v="762"/>
    <n v="76"/>
    <n v="56"/>
    <s v=""/>
    <x v="0"/>
  </r>
  <r>
    <x v="60"/>
    <n v="1"/>
    <x v="0"/>
    <x v="2"/>
    <n v="89"/>
    <n v="96"/>
    <n v="92"/>
    <n v="95"/>
    <n v="92.7"/>
    <n v="88"/>
    <n v="94.5"/>
    <n v="84"/>
    <n v="88"/>
    <n v="85.8"/>
    <n v="905"/>
    <n v="91"/>
    <n v="35"/>
    <s v=""/>
    <x v="0"/>
  </r>
  <r>
    <x v="61"/>
    <n v="1"/>
    <x v="1"/>
    <x v="2"/>
    <n v="85"/>
    <n v="96"/>
    <n v="93"/>
    <n v="98"/>
    <n v="96"/>
    <n v="62"/>
    <n v="97.3"/>
    <n v="86"/>
    <n v="70"/>
    <n v="92.3"/>
    <n v="876"/>
    <n v="88"/>
    <n v="46"/>
    <s v=""/>
    <x v="0"/>
  </r>
  <r>
    <x v="62"/>
    <n v="1"/>
    <x v="1"/>
    <x v="2"/>
    <n v="89"/>
    <n v="89"/>
    <n v="86"/>
    <n v="91"/>
    <n v="94.2"/>
    <n v="84"/>
    <n v="86"/>
    <n v="76"/>
    <n v="73.599999999999994"/>
    <n v="84"/>
    <n v="853"/>
    <n v="85"/>
    <n v="35"/>
    <s v=""/>
    <x v="0"/>
  </r>
  <r>
    <x v="63"/>
    <n v="1"/>
    <x v="1"/>
    <x v="2"/>
    <n v="75"/>
    <n v="75"/>
    <n v="75"/>
    <n v="88"/>
    <n v="81.7"/>
    <n v="82"/>
    <n v="68"/>
    <n v="71"/>
    <n v="73.5"/>
    <n v="73.3"/>
    <n v="763"/>
    <n v="76"/>
    <n v="58"/>
    <s v=""/>
    <x v="0"/>
  </r>
  <r>
    <x v="64"/>
    <n v="1"/>
    <x v="1"/>
    <x v="2"/>
    <n v="88"/>
    <n v="78"/>
    <n v="84"/>
    <n v="88"/>
    <n v="87.4"/>
    <n v="69"/>
    <n v="79"/>
    <n v="78"/>
    <n v="88.5"/>
    <n v="86.6"/>
    <n v="827"/>
    <n v="83"/>
    <n v="38"/>
    <s v=""/>
    <x v="0"/>
  </r>
  <r>
    <x v="65"/>
    <n v="1"/>
    <x v="0"/>
    <x v="2"/>
    <n v="69"/>
    <n v="69"/>
    <n v="84"/>
    <n v="89"/>
    <n v="82.6"/>
    <n v="67"/>
    <n v="78"/>
    <n v="73"/>
    <n v="82.9"/>
    <n v="79.5"/>
    <n v="774"/>
    <n v="77"/>
    <n v="30"/>
    <s v=""/>
    <x v="0"/>
  </r>
  <r>
    <x v="66"/>
    <n v="1"/>
    <x v="0"/>
    <x v="2"/>
    <n v="91"/>
    <n v="91"/>
    <n v="92"/>
    <n v="90"/>
    <n v="97.6"/>
    <n v="72"/>
    <n v="82"/>
    <n v="86"/>
    <n v="85.6"/>
    <n v="88.3"/>
    <n v="876"/>
    <n v="88"/>
    <n v="45"/>
    <s v=""/>
    <x v="0"/>
  </r>
  <r>
    <x v="67"/>
    <n v="1"/>
    <x v="1"/>
    <x v="2"/>
    <n v="95"/>
    <n v="89"/>
    <n v="98"/>
    <n v="98"/>
    <n v="98.2"/>
    <n v="74"/>
    <n v="87"/>
    <n v="96"/>
    <n v="91.7"/>
    <n v="76.5"/>
    <n v="903"/>
    <n v="90"/>
    <n v="46"/>
    <s v=""/>
    <x v="0"/>
  </r>
  <r>
    <x v="68"/>
    <n v="1"/>
    <x v="0"/>
    <x v="2"/>
    <n v="92"/>
    <n v="91"/>
    <n v="97"/>
    <n v="89"/>
    <n v="88.9"/>
    <n v="81"/>
    <n v="94"/>
    <n v="88"/>
    <n v="80.7"/>
    <n v="85"/>
    <n v="887"/>
    <n v="89"/>
    <n v="58"/>
    <s v=""/>
    <x v="0"/>
  </r>
  <r>
    <x v="69"/>
    <n v="1"/>
    <x v="0"/>
    <x v="2"/>
    <n v="64"/>
    <n v="65"/>
    <n v="68"/>
    <n v="72"/>
    <n v="68.900000000000006"/>
    <n v="59"/>
    <n v="73.5"/>
    <n v="66"/>
    <n v="67.900000000000006"/>
    <n v="74.599999999999994"/>
    <n v="679"/>
    <n v="68"/>
    <n v="31"/>
    <s v="HELP"/>
    <x v="1"/>
  </r>
  <r>
    <x v="70"/>
    <n v="1"/>
    <x v="0"/>
    <x v="2"/>
    <n v="86"/>
    <n v="80"/>
    <n v="87"/>
    <n v="84"/>
    <n v="86.9"/>
    <n v="84"/>
    <n v="40"/>
    <n v="82"/>
    <n v="80.2"/>
    <n v="81.8"/>
    <n v="792"/>
    <n v="79"/>
    <n v="51"/>
    <s v=""/>
    <x v="0"/>
  </r>
  <r>
    <x v="71"/>
    <n v="1"/>
    <x v="1"/>
    <x v="2"/>
    <n v="71"/>
    <n v="77"/>
    <n v="81"/>
    <n v="86"/>
    <n v="79.599999999999994"/>
    <n v="73"/>
    <n v="88"/>
    <n v="69"/>
    <n v="72.900000000000006"/>
    <n v="76.599999999999994"/>
    <n v="774"/>
    <n v="77"/>
    <n v="51"/>
    <s v=""/>
    <x v="0"/>
  </r>
  <r>
    <x v="72"/>
    <n v="1"/>
    <x v="0"/>
    <x v="2"/>
    <n v="86"/>
    <n v="95"/>
    <n v="87"/>
    <n v="95"/>
    <n v="96"/>
    <n v="75"/>
    <n v="96"/>
    <n v="88"/>
    <n v="88.4"/>
    <n v="92.8"/>
    <n v="899"/>
    <n v="90"/>
    <n v="48"/>
    <s v=""/>
    <x v="0"/>
  </r>
  <r>
    <x v="73"/>
    <n v="1"/>
    <x v="0"/>
    <x v="2"/>
    <n v="89"/>
    <n v="81"/>
    <n v="92"/>
    <n v="93"/>
    <n v="93.4"/>
    <n v="81"/>
    <n v="98"/>
    <n v="86"/>
    <n v="89"/>
    <n v="78.3"/>
    <n v="881"/>
    <n v="88"/>
    <n v="55"/>
    <s v=""/>
    <x v="0"/>
  </r>
  <r>
    <x v="74"/>
    <n v="1"/>
    <x v="0"/>
    <x v="2"/>
    <n v="99"/>
    <n v="96"/>
    <n v="97"/>
    <n v="99"/>
    <n v="98.5"/>
    <n v="95"/>
    <n v="97.5"/>
    <n v="96"/>
    <n v="91.9"/>
    <n v="94.8"/>
    <n v="965"/>
    <n v="96"/>
    <n v="36"/>
    <s v=""/>
    <x v="0"/>
  </r>
  <r>
    <x v="75"/>
    <n v="1"/>
    <x v="1"/>
    <x v="2"/>
    <n v="91"/>
    <n v="94"/>
    <n v="95"/>
    <n v="95"/>
    <n v="98"/>
    <n v="80"/>
    <n v="93.5"/>
    <n v="91"/>
    <n v="94.1"/>
    <n v="89.7"/>
    <n v="921"/>
    <n v="92"/>
    <n v="36"/>
    <s v=""/>
    <x v="0"/>
  </r>
  <r>
    <x v="76"/>
    <n v="1"/>
    <x v="1"/>
    <x v="2"/>
    <n v="60"/>
    <n v="77"/>
    <n v="73"/>
    <n v="78"/>
    <n v="79.8"/>
    <n v="54"/>
    <n v="63"/>
    <n v="69"/>
    <n v="64.599999999999994"/>
    <n v="71.099999999999994"/>
    <n v="690"/>
    <n v="69"/>
    <n v="60"/>
    <s v="HELP"/>
    <x v="1"/>
  </r>
  <r>
    <x v="77"/>
    <n v="1"/>
    <x v="1"/>
    <x v="2"/>
    <n v="98"/>
    <n v="94"/>
    <n v="95"/>
    <n v="98"/>
    <n v="99.2"/>
    <n v="81"/>
    <n v="93.5"/>
    <n v="91"/>
    <n v="91.9"/>
    <n v="94.6"/>
    <n v="936"/>
    <n v="94"/>
    <n v="38"/>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054B05-35E6-497D-BED5-149DABA71331}" name="PivotTable7"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pivotFields count="19">
    <pivotField dataField="1" showAll="0"/>
    <pivotField showAll="0"/>
    <pivotField showAll="0"/>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TL" fld="0" subtotal="count" baseField="0" baseItem="0"/>
  </dataFields>
  <formats count="11">
    <format dxfId="179">
      <pivotArea type="all" dataOnly="0" outline="0" fieldPosition="0"/>
    </format>
    <format dxfId="178">
      <pivotArea outline="0" collapsedLevelsAreSubtotals="1" fieldPosition="0"/>
    </format>
    <format dxfId="177">
      <pivotArea dataOnly="0" labelOnly="1" outline="0" axis="axisValues" fieldPosition="0"/>
    </format>
    <format dxfId="176">
      <pivotArea outline="0" collapsedLevelsAreSubtotals="1" fieldPosition="0"/>
    </format>
    <format dxfId="175">
      <pivotArea outline="0" collapsedLevelsAreSubtotals="1" fieldPosition="0"/>
    </format>
    <format dxfId="174">
      <pivotArea type="all" dataOnly="0" outline="0" fieldPosition="0"/>
    </format>
    <format dxfId="173">
      <pivotArea outline="0" collapsedLevelsAreSubtotals="1" fieldPosition="0"/>
    </format>
    <format dxfId="172">
      <pivotArea dataOnly="0" labelOnly="1" outline="0" axis="axisValues" fieldPosition="0"/>
    </format>
    <format dxfId="171">
      <pivotArea type="all" dataOnly="0" outline="0" fieldPosition="0"/>
    </format>
    <format dxfId="170">
      <pivotArea dataOnly="0" labelOnly="1" outline="0" axis="axisValues" fieldPosition="0"/>
    </format>
    <format dxfId="16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5C9D74-09EB-40A9-9291-AC16EC8C1A5F}" name="PivotTable8"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8">
  <location ref="A3:B6" firstHeaderRow="1" firstDataRow="1" firstDataCol="1"/>
  <pivotFields count="19">
    <pivotField showAll="0"/>
    <pivotField showAll="0"/>
    <pivotField axis="axisRow"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3">
    <i>
      <x/>
    </i>
    <i>
      <x v="1"/>
    </i>
    <i t="grand">
      <x/>
    </i>
  </rowItems>
  <colItems count="1">
    <i/>
  </colItems>
  <dataFields count="1">
    <dataField name="Average of TOTAL (800)" fld="14" subtotal="average" baseField="1" baseItem="0"/>
  </dataFields>
  <chartFormats count="3">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2" count="1" selected="0">
            <x v="0"/>
          </reference>
        </references>
      </pivotArea>
    </chartFormat>
    <chartFormat chart="7" format="3">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35F1B8-47EA-4716-9FBF-2F1550DDFA42}" name="PivotTable1"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9">
  <location ref="A3:B6" firstHeaderRow="1" firstDataRow="1" firstDataCol="1"/>
  <pivotFields count="19">
    <pivotField showAll="0"/>
    <pivotField showAll="0"/>
    <pivotField axis="axisRow"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3">
    <i>
      <x/>
    </i>
    <i>
      <x v="1"/>
    </i>
    <i t="grand">
      <x/>
    </i>
  </rowItems>
  <colItems count="1">
    <i/>
  </colItems>
  <dataFields count="1">
    <dataField name="Count of TOTAL (800)" fld="14" subtotal="count" showDataAs="percentOfTotal" baseField="1" baseItem="0" numFmtId="10"/>
  </dataFields>
  <chartFormats count="3">
    <chartFormat chart="8" format="1" series="1">
      <pivotArea type="data" outline="0" fieldPosition="0">
        <references count="1">
          <reference field="4294967294"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 chart="8" format="3">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4F224D1-668B-480E-965B-C71759CCEA5F}" name="PivotTable1"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1">
  <location ref="A3:J4" firstHeaderRow="0" firstDataRow="1" firstDataCol="0"/>
  <pivotFields count="19">
    <pivotField showAll="0"/>
    <pivotField showAll="0"/>
    <pivotField showAll="0">
      <items count="3">
        <item x="0"/>
        <item x="1"/>
        <item t="default"/>
      </items>
    </pivotField>
    <pivotField showAll="0">
      <items count="4">
        <item x="1"/>
        <item x="2"/>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s>
  <rowItems count="1">
    <i/>
  </rowItems>
  <colFields count="1">
    <field x="-2"/>
  </colFields>
  <colItems count="10">
    <i>
      <x/>
    </i>
    <i i="1">
      <x v="1"/>
    </i>
    <i i="2">
      <x v="2"/>
    </i>
    <i i="3">
      <x v="3"/>
    </i>
    <i i="4">
      <x v="4"/>
    </i>
    <i i="5">
      <x v="5"/>
    </i>
    <i i="6">
      <x v="6"/>
    </i>
    <i i="7">
      <x v="7"/>
    </i>
    <i i="8">
      <x v="8"/>
    </i>
    <i i="9">
      <x v="9"/>
    </i>
  </colItems>
  <dataFields count="10">
    <dataField name="Average of ENGLISH" fld="5" subtotal="average" baseField="0" baseItem="7"/>
    <dataField name="Average of OWOP" fld="7" subtotal="average" baseField="0" baseItem="0"/>
    <dataField name="Average of SCIENCE" fld="6" subtotal="average" baseField="0" baseItem="0"/>
    <dataField name="Average of MATH" fld="4" subtotal="average" baseField="0" baseItem="0"/>
    <dataField name="Average of RME " fld="8" subtotal="average" baseField="0" baseItem="0"/>
    <dataField name="Average of COMPUTING" fld="9" subtotal="average" baseField="0" baseItem="0"/>
    <dataField name="Average of FRENCH" fld="10" subtotal="average" baseField="0" baseItem="0"/>
    <dataField name="Average of HISTORY" fld="11" subtotal="average" baseField="0" baseItem="0"/>
    <dataField name="Average of TWI" fld="12" subtotal="average" baseField="0" baseItem="0"/>
    <dataField name="Average of CA" fld="13" subtotal="average" baseField="0" baseItem="0"/>
  </dataFields>
  <chartFormats count="10">
    <chartFormat chart="7" format="1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1"/>
          </reference>
        </references>
      </pivotArea>
    </chartFormat>
    <chartFormat chart="7" format="12" series="1">
      <pivotArea type="data" outline="0" fieldPosition="0">
        <references count="1">
          <reference field="4294967294" count="1" selected="0">
            <x v="2"/>
          </reference>
        </references>
      </pivotArea>
    </chartFormat>
    <chartFormat chart="7" format="13" series="1">
      <pivotArea type="data" outline="0" fieldPosition="0">
        <references count="1">
          <reference field="4294967294" count="1" selected="0">
            <x v="3"/>
          </reference>
        </references>
      </pivotArea>
    </chartFormat>
    <chartFormat chart="7" format="14" series="1">
      <pivotArea type="data" outline="0" fieldPosition="0">
        <references count="1">
          <reference field="4294967294" count="1" selected="0">
            <x v="4"/>
          </reference>
        </references>
      </pivotArea>
    </chartFormat>
    <chartFormat chart="7" format="15" series="1">
      <pivotArea type="data" outline="0" fieldPosition="0">
        <references count="1">
          <reference field="4294967294" count="1" selected="0">
            <x v="5"/>
          </reference>
        </references>
      </pivotArea>
    </chartFormat>
    <chartFormat chart="7" format="16" series="1">
      <pivotArea type="data" outline="0" fieldPosition="0">
        <references count="1">
          <reference field="4294967294" count="1" selected="0">
            <x v="6"/>
          </reference>
        </references>
      </pivotArea>
    </chartFormat>
    <chartFormat chart="7" format="17" series="1">
      <pivotArea type="data" outline="0" fieldPosition="0">
        <references count="1">
          <reference field="4294967294" count="1" selected="0">
            <x v="7"/>
          </reference>
        </references>
      </pivotArea>
    </chartFormat>
    <chartFormat chart="7" format="18" series="1">
      <pivotArea type="data" outline="0" fieldPosition="0">
        <references count="1">
          <reference field="4294967294" count="1" selected="0">
            <x v="8"/>
          </reference>
        </references>
      </pivotArea>
    </chartFormat>
    <chartFormat chart="7" format="1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C961A83-63E0-4989-B4F7-060D8571F971}" name="PivotTable6"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15">
  <location ref="A3:D7" firstHeaderRow="1" firstDataRow="2" firstDataCol="1"/>
  <pivotFields count="19">
    <pivotField axis="axisRow" showAll="0">
      <items count="79">
        <item x="0"/>
        <item x="27"/>
        <item x="52"/>
        <item x="28"/>
        <item x="1"/>
        <item x="2"/>
        <item x="3"/>
        <item x="4"/>
        <item x="29"/>
        <item x="53"/>
        <item x="54"/>
        <item x="5"/>
        <item x="6"/>
        <item x="55"/>
        <item x="30"/>
        <item x="31"/>
        <item x="32"/>
        <item x="56"/>
        <item x="57"/>
        <item x="7"/>
        <item x="8"/>
        <item x="58"/>
        <item x="9"/>
        <item x="33"/>
        <item x="59"/>
        <item x="60"/>
        <item x="61"/>
        <item x="34"/>
        <item x="62"/>
        <item x="63"/>
        <item x="64"/>
        <item x="65"/>
        <item x="10"/>
        <item x="11"/>
        <item x="66"/>
        <item x="67"/>
        <item x="68"/>
        <item x="35"/>
        <item x="69"/>
        <item x="12"/>
        <item x="36"/>
        <item x="37"/>
        <item x="38"/>
        <item x="70"/>
        <item x="39"/>
        <item x="71"/>
        <item x="13"/>
        <item x="40"/>
        <item x="14"/>
        <item x="15"/>
        <item x="16"/>
        <item x="17"/>
        <item x="18"/>
        <item x="41"/>
        <item x="19"/>
        <item x="72"/>
        <item x="42"/>
        <item x="43"/>
        <item x="44"/>
        <item x="20"/>
        <item x="21"/>
        <item x="45"/>
        <item x="46"/>
        <item x="47"/>
        <item x="73"/>
        <item x="22"/>
        <item x="48"/>
        <item x="49"/>
        <item x="50"/>
        <item x="51"/>
        <item x="74"/>
        <item x="75"/>
        <item x="23"/>
        <item x="76"/>
        <item x="24"/>
        <item x="77"/>
        <item x="25"/>
        <item x="26"/>
        <item t="default"/>
      </items>
    </pivotField>
    <pivotField showAll="0"/>
    <pivotField axis="axisRow" showAll="0">
      <items count="3">
        <item sd="0" x="0"/>
        <item sd="0" x="1"/>
        <item t="default" sd="0"/>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Col" showAll="0">
      <items count="4">
        <item x="1"/>
        <item x="0"/>
        <item m="1" x="2"/>
        <item t="default"/>
      </items>
    </pivotField>
  </pivotFields>
  <rowFields count="2">
    <field x="2"/>
    <field x="0"/>
  </rowFields>
  <rowItems count="3">
    <i>
      <x/>
    </i>
    <i>
      <x v="1"/>
    </i>
    <i t="grand">
      <x/>
    </i>
  </rowItems>
  <colFields count="1">
    <field x="18"/>
  </colFields>
  <colItems count="3">
    <i>
      <x/>
    </i>
    <i>
      <x v="1"/>
    </i>
    <i t="grand">
      <x/>
    </i>
  </colItems>
  <dataFields count="1">
    <dataField name="Sum of TOTAL (800)" fld="14" showDataAs="percentOfRow" baseField="0" baseItem="0" numFmtId="10"/>
  </dataFields>
  <chartFormats count="3">
    <chartFormat chart="4" format="2" series="1">
      <pivotArea type="data" outline="0" fieldPosition="0">
        <references count="2">
          <reference field="4294967294" count="1" selected="0">
            <x v="0"/>
          </reference>
          <reference field="18" count="1" selected="0">
            <x v="0"/>
          </reference>
        </references>
      </pivotArea>
    </chartFormat>
    <chartFormat chart="4" format="3" series="1">
      <pivotArea type="data" outline="0" fieldPosition="0">
        <references count="2">
          <reference field="4294967294" count="1" selected="0">
            <x v="0"/>
          </reference>
          <reference field="18" count="1" selected="0">
            <x v="1"/>
          </reference>
        </references>
      </pivotArea>
    </chartFormat>
    <chartFormat chart="4" format="4" series="1">
      <pivotArea type="data" outline="0" fieldPosition="0">
        <references count="2">
          <reference field="4294967294" count="1" selected="0">
            <x v="0"/>
          </reference>
          <reference field="1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1E6C7C-2DAB-4571-9BF4-15A562C8982C}" name="PivotTable8"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pivotFields count="19">
    <pivotField showAll="0"/>
    <pivotField showAll="0"/>
    <pivotField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Items count="1">
    <i/>
  </colItems>
  <dataFields count="1">
    <dataField name="AT" fld="14" subtotal="average" baseField="0" baseItem="0" numFmtId="164"/>
  </dataFields>
  <formats count="3">
    <format dxfId="168">
      <pivotArea outline="0" collapsedLevelsAreSubtotals="1" fieldPosition="0"/>
    </format>
    <format dxfId="167">
      <pivotArea outline="0" collapsedLevelsAreSubtotals="1" fieldPosition="0"/>
    </format>
    <format dxfId="1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0294CE-5408-4BD5-B2F6-CB2A9033D527}" name="PivotTable25"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5">
  <location ref="A3:B4" firstHeaderRow="0" firstDataRow="1" firstDataCol="0"/>
  <pivotFields count="19">
    <pivotField showAll="0"/>
    <pivotField showAll="0"/>
    <pivotField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Fields count="1">
    <field x="-2"/>
  </colFields>
  <colItems count="2">
    <i>
      <x/>
    </i>
    <i i="1">
      <x v="1"/>
    </i>
  </colItems>
  <dataFields count="2">
    <dataField name="Max score" fld="14" subtotal="max" baseField="0" baseItem="1"/>
    <dataField name="Min score" fld="14" subtotal="min" baseField="0" baseItem="1"/>
  </dataFields>
  <formats count="3">
    <format dxfId="165">
      <pivotArea type="all" dataOnly="0" outline="0" fieldPosition="0"/>
    </format>
    <format dxfId="164">
      <pivotArea outline="0" collapsedLevelsAreSubtotals="1" fieldPosition="0"/>
    </format>
    <format dxfId="163">
      <pivotArea dataOnly="0" labelOnly="1" outline="0" fieldPosition="0">
        <references count="1">
          <reference field="4294967294" count="2">
            <x v="0"/>
            <x v="1"/>
          </reference>
        </references>
      </pivotArea>
    </format>
  </format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AD5A21-EAD1-4D27-8A47-859A3294E895}" name="PivotTable27"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pivotFields count="19">
    <pivotField showAll="0"/>
    <pivotField showAll="0"/>
    <pivotField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Items count="1">
    <i/>
  </colItems>
  <dataFields count="1">
    <dataField name="Max" fld="14" subtotal="max" baseField="0" baseItem="0"/>
  </dataFields>
  <formats count="1">
    <format dxfId="16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21E8B4F-D54A-42C8-8A2F-71C8B9C24138}" name="PivotTable28"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rowPageCount="1" colPageCount="1"/>
  <pivotFields count="19">
    <pivotField showAll="0"/>
    <pivotField showAll="0"/>
    <pivotField axis="axisPage"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Items count="1">
    <i/>
  </colItems>
  <pageFields count="1">
    <pageField fld="2" item="1" hier="-1"/>
  </pageFields>
  <dataFields count="1">
    <dataField name="Count" fld="14" subtotal="count" baseField="0" baseItem="0"/>
  </dataFields>
  <formats count="1">
    <format dxfId="1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1E91EE1-5EAA-4779-8317-CEE268322F47}" name="PivotTable28" cacheId="2"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A4" firstHeaderRow="1" firstDataRow="1" firstDataCol="0" rowPageCount="1" colPageCount="1"/>
  <pivotFields count="19">
    <pivotField showAll="0"/>
    <pivotField showAll="0"/>
    <pivotField axis="axisPage" showAll="0">
      <items count="3">
        <item x="0"/>
        <item x="1"/>
        <item t="default"/>
      </items>
    </pivotField>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Items count="1">
    <i/>
  </colItems>
  <pageFields count="1">
    <pageField fld="2" item="0" hier="-1"/>
  </pageFields>
  <dataFields count="1">
    <dataField name="Count" fld="14" subtotal="count" baseField="0" baseItem="0"/>
  </dataFields>
  <formats count="1">
    <format dxfId="16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SIC1" xr10:uid="{51A9E4F8-54C8-4A07-B567-2FCB9A156149}" sourceName="BASIC">
  <pivotTables>
    <pivotTable tabId="27" name="PivotTable8"/>
    <pivotTable tabId="26" name="PivotTable7"/>
    <pivotTable tabId="40" name="PivotTable1"/>
    <pivotTable tabId="41" name="PivotTable1"/>
    <pivotTable tabId="43" name="PivotTable6"/>
    <pivotTable tabId="44" name="PivotTable8"/>
    <pivotTable tabId="47" name="PivotTable25"/>
    <pivotTable tabId="48" name="PivotTable27"/>
    <pivotTable tabId="49" name="PivotTable28"/>
    <pivotTable tabId="50" name="PivotTable28"/>
  </pivotTables>
  <data>
    <tabular pivotCacheId="1245421319">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9527D08B-6C42-43FC-BB49-76BE90837C37}" sourceName="GENDER">
  <pivotTables>
    <pivotTable tabId="41" name="PivotTable1"/>
    <pivotTable tabId="48" name="PivotTable27"/>
    <pivotTable tabId="47" name="PivotTable25"/>
    <pivotTable tabId="44" name="PivotTable8"/>
  </pivotTables>
  <data>
    <tabular pivotCacheId="124542131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SIC 1" xr10:uid="{72A4470A-2532-4EC2-9559-258CCB5BE977}" cache="Slicer_BASIC1" caption="BASIC" columnCount="3" style="Dash" rowHeight="720000"/>
  <slicer name="GENDER" xr10:uid="{FD23C4ED-4A07-494C-8559-99B2E5CCA5DA}" cache="Slicer_GENDER" caption="GENDER" columnCount="2" style="Dash 3" rowHeight="72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448E4E-2F10-44D9-A293-735C2C3355C4}" name="Table2" displayName="Table2" ref="A1:Q2" totalsRowShown="0">
  <autoFilter ref="A1:Q2" xr:uid="{E1448E4E-2F10-44D9-A293-735C2C3355C4}"/>
  <tableColumns count="17">
    <tableColumn id="1" xr3:uid="{CF0EAA70-282F-44C2-8E4D-9C7FB4C31F41}" name="NAME"/>
    <tableColumn id="2" xr3:uid="{2CB23982-FADE-4EFD-999E-FB3EC5EBE57D}" name="GENDER"/>
    <tableColumn id="3" xr3:uid="{40744756-80CE-4AF9-A556-37F68F544D4D}" name="BASIC"/>
    <tableColumn id="4" xr3:uid="{806EC7FA-2BB9-427D-BD10-BF5B86AF04B3}" name="MATH"/>
    <tableColumn id="5" xr3:uid="{35CAFEF7-59A3-481E-83AC-902709E67038}" name="ENGLISH"/>
    <tableColumn id="6" xr3:uid="{3EA7C1B5-22FC-4F4D-8FCA-5EC1D8E159E4}" name="SCIENCE"/>
    <tableColumn id="7" xr3:uid="{A592CEA2-75DB-4198-90B1-810655B22D1C}" name="OWOP"/>
    <tableColumn id="8" xr3:uid="{D1DB7F5D-6EB4-470A-9B03-F3012986C8BB}" name="RME "/>
    <tableColumn id="9" xr3:uid="{E56A16EA-F5E2-4A36-89E1-2F08E1C5D1A8}" name="COMPUTING"/>
    <tableColumn id="10" xr3:uid="{E9514AEE-19E5-437B-8DD5-3DFD51F024A0}" name="FRENCH"/>
    <tableColumn id="11" xr3:uid="{4BC3B14C-A74A-4F3D-818E-555F8E94E60A}" name="HISTORY"/>
    <tableColumn id="12" xr3:uid="{E89A33ED-99F2-4806-A14B-DFEB7F13B218}" name="TWI"/>
    <tableColumn id="13" xr3:uid="{F6C97752-E887-46EB-992C-8E0F098001EE}" name="CA"/>
    <tableColumn id="14" xr3:uid="{9DCCE352-E4B5-46AB-ABB8-2C99B90004F3}" name="TOTAL (800)"/>
    <tableColumn id="15" xr3:uid="{1C6A8F24-6AD2-4B8E-BBFF-3E076B5C8350}" name="NEED HELP"/>
    <tableColumn id="16" xr3:uid="{F6A99C36-2D05-48DC-B77F-B737F8510E8A}" name="PASS RATE"/>
    <tableColumn id="17" xr3:uid="{B2C80C1E-7997-4B69-81A3-3143E950A259}" name="HP"/>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23F9AB7-6F42-46C1-88E3-7D4275E34D46}" name="DATA" displayName="DATA" ref="A2:S80" dataDxfId="159">
  <autoFilter ref="A2:S80" xr:uid="{123F9AB7-6F42-46C1-88E3-7D4275E34D4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541DE205-28C6-4C3A-B5EA-AEAC8B576888}" name="INDEX NUMBER" totalsRowLabel="Total" dataDxfId="158"/>
    <tableColumn id="19" xr3:uid="{2A75E332-2714-4103-8973-0FFDC681A230}" name="TERM" dataDxfId="157"/>
    <tableColumn id="2" xr3:uid="{38EB1FDB-440E-43D8-BD42-E8671B2F5C26}" name="GENDER" dataDxfId="156"/>
    <tableColumn id="3" xr3:uid="{22746BC4-C8E1-4234-86CD-AAB110040D5C}" name="BASIC" dataDxfId="155"/>
    <tableColumn id="4" xr3:uid="{3C5E54FB-C420-4056-B537-E8A583728AB4}" name="MATH" dataDxfId="154">
      <calculatedColumnFormula>MATH!K4</calculatedColumnFormula>
    </tableColumn>
    <tableColumn id="5" xr3:uid="{52D1EC58-8E1B-47C3-AE3F-2A063D525402}" name="ENGLISH" dataDxfId="153">
      <calculatedColumnFormula>Table9[[#This Row],[TOTAL]]</calculatedColumnFormula>
    </tableColumn>
    <tableColumn id="6" xr3:uid="{0E412876-857D-40ED-BC5F-C2E13E8F91F1}" name="SCIENCE" dataDxfId="152">
      <calculatedColumnFormula>ROUND(Table10[[#This Row],[TOTAL]],0)</calculatedColumnFormula>
    </tableColumn>
    <tableColumn id="7" xr3:uid="{55DA3D3E-E2AA-4788-9ADC-ADC832B37A88}" name="OWOP" dataDxfId="151">
      <calculatedColumnFormula>ROUND(Table11[[#This Row],[TOTAL]],0)</calculatedColumnFormula>
    </tableColumn>
    <tableColumn id="8" xr3:uid="{624B262C-DD17-4E43-9AFD-710EA732E039}" name="RME " dataDxfId="150">
      <calculatedColumnFormula>Table12[[#This Row],[TOTAL]]</calculatedColumnFormula>
    </tableColumn>
    <tableColumn id="9" xr3:uid="{666DE8D4-3562-4A26-9EB8-556ACDA75F7F}" name="COMPUTING" dataDxfId="149">
      <calculatedColumnFormula>Table1618[[#This Row],[TOTAL]]</calculatedColumnFormula>
    </tableColumn>
    <tableColumn id="10" xr3:uid="{1E573259-0F71-47C3-B7D5-7177D5F5B3C4}" name="FRENCH" dataDxfId="148">
      <calculatedColumnFormula>Table16[[#This Row],[TOTAL]]</calculatedColumnFormula>
    </tableColumn>
    <tableColumn id="11" xr3:uid="{96898D8A-3558-44F9-BF4F-16A224253010}" name="HISTORY" dataDxfId="147">
      <calculatedColumnFormula>Table13[[#This Row],[TOTAL]]</calculatedColumnFormula>
    </tableColumn>
    <tableColumn id="12" xr3:uid="{287DF16E-4447-4DB2-A202-F72D4E1E649A}" name="TWI" dataDxfId="146"/>
    <tableColumn id="13" xr3:uid="{5B25089E-B625-4026-B1FA-A41D7D21681B}" name="CA" totalsRowFunction="average" dataDxfId="145"/>
    <tableColumn id="14" xr3:uid="{554F39E1-3C5B-4C22-AD74-D7C6A488C068}" name="TOTAL (1000)" totalsRowFunction="average" dataDxfId="144">
      <calculatedColumnFormula>ROUND(SUM(DATA[[#This Row],[MATH]:[CA]]),0)</calculatedColumnFormula>
    </tableColumn>
    <tableColumn id="18" xr3:uid="{E089AE52-3708-4D42-9983-3079D8E48368}" name="AVG SCORE" dataDxfId="143">
      <calculatedColumnFormula>ROUND(AVERAGE(DATA[[#This Row],[MATH]:[CA]]),0)</calculatedColumnFormula>
    </tableColumn>
    <tableColumn id="17" xr3:uid="{9540454B-C76F-4C9F-8F9E-1E5F17A2C24C}" name="ATTENDANCE" dataDxfId="142"/>
    <tableColumn id="15" xr3:uid="{B7AEA0C1-ED87-4971-8011-0772A02CE2C7}" name="NEED HELP" dataDxfId="141">
      <calculatedColumnFormula>IF(DATA[[#This Row],[TOTAL (1000)]]&lt;700,"HELP","")</calculatedColumnFormula>
    </tableColumn>
    <tableColumn id="16" xr3:uid="{57CF0940-FCFC-435D-BCDA-3670D26D0877}" name="PASS RATE" dataDxfId="140">
      <calculatedColumnFormula>IF(DATA[[#This Row],[TOTAL (1000)]]&gt;=700, "PASS","FAIL")</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6B21DF-AB01-4E7B-A58E-403E9F5182A8}" name="Table5" displayName="Table5" ref="M3:P6" totalsRowShown="0">
  <autoFilter ref="M3:P6" xr:uid="{4B6B21DF-AB01-4E7B-A58E-403E9F5182A8}"/>
  <tableColumns count="4">
    <tableColumn id="1" xr3:uid="{212FF873-DA1B-4635-A935-DBBCB3F0C405}" name="Column1"/>
    <tableColumn id="2" xr3:uid="{9474E905-D8D9-4118-A3FE-E65BDD5DF182}" name="CAT "/>
    <tableColumn id="3" xr3:uid="{D24C9AB6-9252-46C4-B2B8-2F61CDC503A7}" name="MT"/>
    <tableColumn id="4" xr3:uid="{DF61D9A2-7CEF-4F3F-8A4E-2FF0C060966D}" name="EoT"/>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609273-080B-401D-9488-3F9B24F14987}" name="Table8" displayName="Table8" ref="A3:K81" totalsRowShown="0" dataDxfId="139">
  <autoFilter ref="A3:K81" xr:uid="{3C609273-080B-401D-9488-3F9B24F14987}"/>
  <tableColumns count="11">
    <tableColumn id="1" xr3:uid="{0F74CF07-40D9-4373-85CE-F8F691ACD458}" name="NAME" dataDxfId="138"/>
    <tableColumn id="2" xr3:uid="{5CD082C7-B5B3-4D1C-99B8-F61F9AFB6A88}" name="CAT 1" dataDxfId="137"/>
    <tableColumn id="3" xr3:uid="{D738B09E-DDBD-4691-B39E-026B5999C474}" name="CAT 20%" dataDxfId="136">
      <calculatedColumnFormula>B4*20%</calculatedColumnFormula>
    </tableColumn>
    <tableColumn id="4" xr3:uid="{465C9C57-F2C3-436B-A2F9-B28CF3E72F68}" name="MID TERM" dataDxfId="135"/>
    <tableColumn id="5" xr3:uid="{13976CA3-232E-4B9F-B0CD-4B5D157C57CC}" name="MID TERM(20%)" dataDxfId="134">
      <calculatedColumnFormula>D4*20%</calculatedColumnFormula>
    </tableColumn>
    <tableColumn id="6" xr3:uid="{4D5F0B26-7725-4D04-AC66-294496F5916B}" name="PROJECT WORK" dataDxfId="133"/>
    <tableColumn id="7" xr3:uid="{DC702203-0FE6-4FFB-80F3-8FBB6FA73032}" name="PW 10%" dataDxfId="132">
      <calculatedColumnFormula>F4*10%</calculatedColumnFormula>
    </tableColumn>
    <tableColumn id="8" xr3:uid="{71EFE975-11D2-4655-AC42-1296B70D95B7}" name="IAS" dataDxfId="131">
      <calculatedColumnFormula>C4+E4+G4</calculatedColumnFormula>
    </tableColumn>
    <tableColumn id="9" xr3:uid="{A61153C8-8440-403F-BBC7-852D66FDE7CA}" name="END OF TERM" dataDxfId="130"/>
    <tableColumn id="10" xr3:uid="{8974D4F3-C42E-4427-8A3A-FE18C3FBA305}" name="END OF TERM(50%)" dataDxfId="129">
      <calculatedColumnFormula>I4*50%</calculatedColumnFormula>
    </tableColumn>
    <tableColumn id="11" xr3:uid="{2AE1CD38-6FE9-4FC1-9652-D4E10A4FF6B2}" name="TOTAL" dataDxfId="128">
      <calculatedColumnFormula>ROUND(H4+J4,0)</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878E746-0AC2-4A60-9924-2235FAAFF429}" name="Table9" displayName="Table9" ref="A2:K80" totalsRowShown="0">
  <autoFilter ref="A2:K80" xr:uid="{F878E746-0AC2-4A60-9924-2235FAAFF429}"/>
  <tableColumns count="11">
    <tableColumn id="1" xr3:uid="{55AB202C-5BD8-4952-8CAB-173191EA9959}" name="NAME" dataDxfId="127"/>
    <tableColumn id="2" xr3:uid="{B30F0BDF-F137-4225-B164-A5849657FFAF}" name="CAT 1" dataDxfId="126"/>
    <tableColumn id="3" xr3:uid="{A25FD3E9-180E-472E-BC21-9618BCE7288C}" name="CAT 20%" dataDxfId="125">
      <calculatedColumnFormula>B3*20%</calculatedColumnFormula>
    </tableColumn>
    <tableColumn id="4" xr3:uid="{9DF2A77F-F0A7-41A1-A3E4-A04555EDB2F4}" name="MID TERM" dataDxfId="124"/>
    <tableColumn id="5" xr3:uid="{7089FE43-6C2B-4F6A-A336-94A5E985BD4C}" name="MID TERM(20%)" dataDxfId="123">
      <calculatedColumnFormula>D3*20%</calculatedColumnFormula>
    </tableColumn>
    <tableColumn id="6" xr3:uid="{30476BD6-62BD-4C49-A243-C2DDF5CAD454}" name="PROJECT WORK" dataDxfId="122"/>
    <tableColumn id="7" xr3:uid="{9A632D03-1E31-4442-932E-F51B99E0112C}" name="PW 10%" dataDxfId="121">
      <calculatedColumnFormula>F3*10%</calculatedColumnFormula>
    </tableColumn>
    <tableColumn id="8" xr3:uid="{2C6FF373-EBEC-4A2A-9788-DE51AF16633E}" name="IAS" dataDxfId="120">
      <calculatedColumnFormula>C3+E3+G3</calculatedColumnFormula>
    </tableColumn>
    <tableColumn id="9" xr3:uid="{323A14B7-6DEF-48E1-ADF5-FC127D40D371}" name="END OF TERM" dataDxfId="119"/>
    <tableColumn id="10" xr3:uid="{78B10C57-18FD-4594-ABA0-75BFE9F7287E}" name="END OF TERM(50%)" dataDxfId="118">
      <calculatedColumnFormula>I3*50%</calculatedColumnFormula>
    </tableColumn>
    <tableColumn id="11" xr3:uid="{D605E289-7184-4C2B-8A83-45123908B2BC}" name="TOTAL" dataDxfId="117">
      <calculatedColumnFormula>ROUND(H3+J3,0)</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222874D-FD4C-4B2D-ACF3-487618072F78}" name="Table19" displayName="Table19" ref="M3:P6" totalsRowShown="0">
  <autoFilter ref="M3:P6" xr:uid="{5222874D-FD4C-4B2D-ACF3-487618072F78}"/>
  <tableColumns count="4">
    <tableColumn id="1" xr3:uid="{0348358B-C1E2-4C57-86A1-C1BA3BEDA19B}" name="Column1"/>
    <tableColumn id="2" xr3:uid="{E2948BA8-F689-419C-9767-F1C0DB63465F}" name="CAT "/>
    <tableColumn id="3" xr3:uid="{5ECF57FF-C479-4BE1-88B7-BB472B3BAE68}" name="MT"/>
    <tableColumn id="4" xr3:uid="{4123D1DB-D335-4DD4-9A9B-34E9CAA423F6}" name="Eo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91CE580-C35C-4AB6-AF34-F9AC25FD643F}" name="Table1618" displayName="Table1618" ref="A2:K80" totalsRowShown="0" headerRowDxfId="116" dataDxfId="115" tableBorderDxfId="114">
  <autoFilter ref="A2:K80" xr:uid="{791CE580-C35C-4AB6-AF34-F9AC25FD643F}"/>
  <tableColumns count="11">
    <tableColumn id="1" xr3:uid="{619AAF87-0499-4BEA-8E76-38238B91B4F5}" name="NAME" dataDxfId="113"/>
    <tableColumn id="2" xr3:uid="{505F7CA4-6FDA-4B66-8EAE-AA2F6AE4B76C}" name="CAT 1" dataDxfId="112"/>
    <tableColumn id="3" xr3:uid="{5706A084-CF07-47DF-92F9-305549C009AB}" name="CAT 20%" dataDxfId="111">
      <calculatedColumnFormula>B3*20%</calculatedColumnFormula>
    </tableColumn>
    <tableColumn id="4" xr3:uid="{ED67FF53-6764-4162-AF17-30C875150EBC}" name="MID TERM" dataDxfId="110"/>
    <tableColumn id="5" xr3:uid="{93B1C8BE-4922-4E29-B181-6D643AC1308C}" name="MID TERM(20%)" dataDxfId="109">
      <calculatedColumnFormula>D3*20%</calculatedColumnFormula>
    </tableColumn>
    <tableColumn id="6" xr3:uid="{EEDAAAA3-FC89-4345-841C-1C39F6FC8436}" name="PROJECT WORK" dataDxfId="108"/>
    <tableColumn id="7" xr3:uid="{AA991CC7-D589-4B87-9BD6-84A43E1667A7}" name="PW 10%" dataDxfId="107">
      <calculatedColumnFormula>F3*10%</calculatedColumnFormula>
    </tableColumn>
    <tableColumn id="8" xr3:uid="{05B5B0D3-F500-43CA-8EA6-B152EFDF8C8D}" name="IAS" dataDxfId="106">
      <calculatedColumnFormula>C3+E3+G3</calculatedColumnFormula>
    </tableColumn>
    <tableColumn id="9" xr3:uid="{4A32FA2A-ED30-4C04-9C9A-411BCE1000F6}" name="END OF TERM" dataDxfId="105"/>
    <tableColumn id="10" xr3:uid="{818EAD4D-C809-4A2F-90AC-03193C4A54C6}" name="END OF TERM(50%)" dataDxfId="104">
      <calculatedColumnFormula>I3*50%</calculatedColumnFormula>
    </tableColumn>
    <tableColumn id="11" xr3:uid="{1E094540-9658-42AA-AE10-A19860904C53}" name="TOTAL" dataDxfId="103">
      <calculatedColumnFormula>ROUND(H3+J3,0)</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7471D66-88BC-4364-927D-7463BB175D3F}" name="Table192122" displayName="Table192122" ref="M2:P5" totalsRowShown="0">
  <autoFilter ref="M2:P5" xr:uid="{E7471D66-88BC-4364-927D-7463BB175D3F}"/>
  <tableColumns count="4">
    <tableColumn id="1" xr3:uid="{94E259C6-43C1-42FD-9092-9D4455494E96}" name="Column1"/>
    <tableColumn id="2" xr3:uid="{66F5F807-E6DE-4998-86A3-C817BB819DC3}" name="CAT "/>
    <tableColumn id="3" xr3:uid="{214F278C-C7C1-444F-AEAB-BEED1609427D}" name="MT"/>
    <tableColumn id="4" xr3:uid="{BD88443A-C9E1-42DC-8F8F-7DAEE8D855D3}" name="Eo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523167-31C7-4265-8C8D-70B582961BEC}" name="Table16" displayName="Table16" ref="A2:K80" totalsRowShown="0" headerRowDxfId="102" dataDxfId="101" tableBorderDxfId="100">
  <autoFilter ref="A2:K80" xr:uid="{DF523167-31C7-4265-8C8D-70B582961BEC}"/>
  <tableColumns count="11">
    <tableColumn id="1" xr3:uid="{1524D198-5169-4905-8891-8D784B8BCBF4}" name="NAME" dataDxfId="99"/>
    <tableColumn id="2" xr3:uid="{88CAB7A3-23BE-452F-BF05-3AE17EE7E37A}" name="CAT 1" dataDxfId="98"/>
    <tableColumn id="3" xr3:uid="{F31299ED-2093-47CD-AEA5-F49E03BF727C}" name="CAT 20%" dataDxfId="97">
      <calculatedColumnFormula>B3*20%</calculatedColumnFormula>
    </tableColumn>
    <tableColumn id="4" xr3:uid="{2A680DE4-7629-48EF-8D84-AD8A3AC74BF7}" name="MID TERM" dataDxfId="96"/>
    <tableColumn id="5" xr3:uid="{88AC7E06-CA01-42E6-93FA-20121FB37D72}" name="MID TERM(20%)" dataDxfId="95">
      <calculatedColumnFormula>D3*20%</calculatedColumnFormula>
    </tableColumn>
    <tableColumn id="6" xr3:uid="{958A89A0-EEC6-4D0B-AF0D-02771AF2B1CC}" name="PROJECT WORK" dataDxfId="94"/>
    <tableColumn id="7" xr3:uid="{8C0E2926-3434-4ADD-8B26-BF9888DF0806}" name="PW 10%" dataDxfId="93">
      <calculatedColumnFormula>F3*10%</calculatedColumnFormula>
    </tableColumn>
    <tableColumn id="8" xr3:uid="{BE2F6DC0-97B4-46FB-BFE3-65195F7CFB37}" name="IAS" dataDxfId="92">
      <calculatedColumnFormula>C3+E3+G3</calculatedColumnFormula>
    </tableColumn>
    <tableColumn id="9" xr3:uid="{86B6D57F-5A6F-4545-93E5-4BBD0FCAEEF0}" name="END OF TERM" dataDxfId="91"/>
    <tableColumn id="10" xr3:uid="{3FC81CB2-C4E2-4491-AFF5-1904E849ECF1}" name="END OF TERM(50%)" dataDxfId="90">
      <calculatedColumnFormula>I3*50%</calculatedColumnFormula>
    </tableColumn>
    <tableColumn id="11" xr3:uid="{0D885C74-44F1-4BFF-974D-66D7A7AE43F4}" name="TOTAL" dataDxfId="89">
      <calculatedColumnFormula>H3+J3</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265B8B5-4C76-46A5-9384-9A083F34F7F8}" name="Table1921" displayName="Table1921" ref="M2:P5" totalsRowShown="0">
  <autoFilter ref="M2:P5" xr:uid="{5265B8B5-4C76-46A5-9384-9A083F34F7F8}"/>
  <tableColumns count="4">
    <tableColumn id="1" xr3:uid="{24E38C3A-A956-4D5A-A469-5D957D07EE9B}" name="Column1"/>
    <tableColumn id="2" xr3:uid="{C0C15DA4-699C-4842-9FF6-BD886522795C}" name="CAT "/>
    <tableColumn id="3" xr3:uid="{F523DD30-71DD-41C5-8D29-EFBB0442E6DA}" name="MT"/>
    <tableColumn id="4" xr3:uid="{FB8B7F32-C2A8-4EFA-8AA3-A7C7E2F30C46}" name="Eo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5C2F775-B76B-412C-8CAF-8583EA969952}" name="Table10" displayName="Table10" ref="A2:K80" totalsRowShown="0" dataDxfId="88">
  <autoFilter ref="A2:K80" xr:uid="{F5C2F775-B76B-412C-8CAF-8583EA969952}"/>
  <tableColumns count="11">
    <tableColumn id="1" xr3:uid="{05CD3B51-52ED-4E18-8A4B-8C1819629957}" name="NAME" dataDxfId="87"/>
    <tableColumn id="2" xr3:uid="{110E51ED-566E-49FE-81A1-A821EFCFA754}" name="CAT 1" dataDxfId="86"/>
    <tableColumn id="3" xr3:uid="{189AA4E6-EDC8-4F26-B14B-9B84A785D206}" name="CAT 20%" dataDxfId="85">
      <calculatedColumnFormula>B3*20%</calculatedColumnFormula>
    </tableColumn>
    <tableColumn id="4" xr3:uid="{98E8CA05-3DE9-4250-9CEF-E2705260B53C}" name="MID TERM" dataDxfId="84"/>
    <tableColumn id="5" xr3:uid="{0E2C2620-A433-4738-ABE6-D0FD559F252A}" name="MID TERM(20%)" dataDxfId="83">
      <calculatedColumnFormula>D3*20%</calculatedColumnFormula>
    </tableColumn>
    <tableColumn id="6" xr3:uid="{6B60C987-1C15-4D6A-AC64-B5ABBC8E6648}" name="PROJECT WORK" dataDxfId="82"/>
    <tableColumn id="7" xr3:uid="{281D8FF1-39C5-417F-8287-C43056DB2EF9}" name="PW 10%" dataDxfId="81">
      <calculatedColumnFormula>F3*10%</calculatedColumnFormula>
    </tableColumn>
    <tableColumn id="8" xr3:uid="{341CBA95-0148-4A3A-8321-72F6AB14D6FB}" name="IAS" dataDxfId="80">
      <calculatedColumnFormula>C3+E3+G3</calculatedColumnFormula>
    </tableColumn>
    <tableColumn id="9" xr3:uid="{FA23CDE4-3015-43F0-8A4E-C4CD64D55AFA}" name="END OF TERM" dataDxfId="79"/>
    <tableColumn id="10" xr3:uid="{23731657-8A21-4BE2-8619-E46B1F5F6DB8}" name="END OF TERM(50%)" dataDxfId="78">
      <calculatedColumnFormula>I3*50%</calculatedColumnFormula>
    </tableColumn>
    <tableColumn id="11" xr3:uid="{98A19D62-86FF-4D8E-8B2F-EA82E5966B27}" name="TOTAL" dataDxfId="77">
      <calculatedColumnFormula>C3+G3+E3+J3</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4901E4-E277-45F2-8B8D-AEB1DF531861}" name="Table11" displayName="Table11" ref="A2:K80" totalsRowShown="0" dataDxfId="76">
  <autoFilter ref="A2:K80" xr:uid="{D74901E4-E277-45F2-8B8D-AEB1DF531861}"/>
  <tableColumns count="11">
    <tableColumn id="1" xr3:uid="{EFD0C1FB-F2D5-4E84-AB47-36B97F4D3EE1}" name="NAME" dataDxfId="75"/>
    <tableColumn id="2" xr3:uid="{3209179E-6B89-4FD5-ADE6-1E644D896530}" name="CAT 1" dataDxfId="74"/>
    <tableColumn id="3" xr3:uid="{EC02C3AC-F107-4B0E-B4E4-7066C7EB7D6B}" name="CAT 20%" dataDxfId="73">
      <calculatedColumnFormula>B3*20%</calculatedColumnFormula>
    </tableColumn>
    <tableColumn id="4" xr3:uid="{5E79B42D-6692-4B7E-AF51-A81A5ED631D7}" name="MID TERM" dataDxfId="72"/>
    <tableColumn id="5" xr3:uid="{45C66878-40DE-4FDE-8EDA-F2918FC961B6}" name="MID TERM(20%)" dataDxfId="71">
      <calculatedColumnFormula>D3*20%</calculatedColumnFormula>
    </tableColumn>
    <tableColumn id="6" xr3:uid="{9942F386-ED2D-4B28-8AC9-B9441DE8CAE6}" name="PROJECT WORK" dataDxfId="70"/>
    <tableColumn id="7" xr3:uid="{0196CF16-4986-4DAE-A995-DE0ED34AD533}" name="PW 10%" dataDxfId="69">
      <calculatedColumnFormula>F3*10%</calculatedColumnFormula>
    </tableColumn>
    <tableColumn id="8" xr3:uid="{91E1B825-BC25-469E-A7F0-E6CDA0622D51}" name="IAS" dataDxfId="68">
      <calculatedColumnFormula>C3+E3+G3</calculatedColumnFormula>
    </tableColumn>
    <tableColumn id="9" xr3:uid="{EE4B2FFB-9F53-46BE-9E5E-AB7FE37D2A68}" name="END OF TERM" dataDxfId="67"/>
    <tableColumn id="10" xr3:uid="{59EEE1BF-9F39-4605-93B0-819AA0033785}" name="END OF TERM(50%)" dataDxfId="66">
      <calculatedColumnFormula>I3*50%</calculatedColumnFormula>
    </tableColumn>
    <tableColumn id="11" xr3:uid="{5DDEDF5D-CD53-489C-A706-852D79DA09C0}" name="TOTAL" dataDxfId="65">
      <calculatedColumnFormula>C3+G3+E3+J3</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9AC8F-A66D-448F-B6EF-65E97ADBB883}" name="Table12" displayName="Table12" ref="A2:K80" totalsRowShown="0" headerRowDxfId="64" dataDxfId="63">
  <autoFilter ref="A2:K80" xr:uid="{E4D9AC8F-A66D-448F-B6EF-65E97ADBB883}"/>
  <tableColumns count="11">
    <tableColumn id="1" xr3:uid="{C68CF9B7-9473-4A7E-A030-253CE5F90DA6}" name="NAME" dataDxfId="62"/>
    <tableColumn id="2" xr3:uid="{69E7FA54-4952-4285-BEDE-1CF28B4FE776}" name="CAT 1" dataDxfId="61"/>
    <tableColumn id="3" xr3:uid="{47C2CD3B-69FD-4C89-A867-FCBCF001EA09}" name="CAT 20%" dataDxfId="60">
      <calculatedColumnFormula>B3*20%</calculatedColumnFormula>
    </tableColumn>
    <tableColumn id="4" xr3:uid="{4D817D14-EDB2-489C-BDB3-04B7F588730C}" name="MID TERM" dataDxfId="59"/>
    <tableColumn id="5" xr3:uid="{FE36DD80-FFF2-45C7-83C8-9B2606D7198A}" name="MID TERM(20%)" dataDxfId="58">
      <calculatedColumnFormula>D3*20%</calculatedColumnFormula>
    </tableColumn>
    <tableColumn id="6" xr3:uid="{A1B634CB-2B45-4904-AE0F-2145FABDE0C9}" name="PROJECT WORK" dataDxfId="57"/>
    <tableColumn id="7" xr3:uid="{1B3FAF2E-B645-4DAF-BC0A-36C6B9A59776}" name="PW 10%" dataDxfId="56">
      <calculatedColumnFormula>F3*10%</calculatedColumnFormula>
    </tableColumn>
    <tableColumn id="8" xr3:uid="{1B583B48-EAE4-47DD-88D5-4515007C2E85}" name="IAS" dataDxfId="55">
      <calculatedColumnFormula>C3+E3+G3</calculatedColumnFormula>
    </tableColumn>
    <tableColumn id="9" xr3:uid="{59823511-311F-476D-999A-B2B1A1B2EE7D}" name="END OF TERM" dataDxfId="54"/>
    <tableColumn id="10" xr3:uid="{2F5BAEE1-04BD-478A-8436-BC45B3AEF28D}" name="END OF TERM(50%)" dataDxfId="53">
      <calculatedColumnFormula>I3*50%</calculatedColumnFormula>
    </tableColumn>
    <tableColumn id="11" xr3:uid="{6A5E92F8-5D5E-4AC7-89C3-3018B953CAF5}" name="TOTAL" dataDxfId="52">
      <calculatedColumnFormula>C3+G3+E3+J3</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EEEB9AC-1418-4035-8158-91271767B4A5}" name="Table13" displayName="Table13" ref="A2:K80" totalsRowShown="0" headerRowDxfId="51" dataDxfId="50">
  <autoFilter ref="A2:K80" xr:uid="{CEEEB9AC-1418-4035-8158-91271767B4A5}"/>
  <tableColumns count="11">
    <tableColumn id="1" xr3:uid="{1DDD83EB-039C-4833-9D55-64737182B1B9}" name="NAME" dataDxfId="49"/>
    <tableColumn id="2" xr3:uid="{E146EC22-F183-4431-9E92-19FE4A9EDC28}" name="CAT 1" dataDxfId="48"/>
    <tableColumn id="3" xr3:uid="{0F90ED5C-11F2-442D-A102-93F7CCBDC6D0}" name="CAT 20%" dataDxfId="47">
      <calculatedColumnFormula>B3*20%</calculatedColumnFormula>
    </tableColumn>
    <tableColumn id="4" xr3:uid="{BB7D9E3F-C786-41F9-9E99-6DCF0561930F}" name="MID TERM" dataDxfId="46"/>
    <tableColumn id="5" xr3:uid="{A5076AED-5CFD-47F2-902A-9DB072777657}" name="MID TERM(20%)" dataDxfId="45">
      <calculatedColumnFormula>D3*20%</calculatedColumnFormula>
    </tableColumn>
    <tableColumn id="6" xr3:uid="{F90C60F7-7B48-4258-90AA-C5255EEA0914}" name="PROJECT WORK" dataDxfId="44"/>
    <tableColumn id="7" xr3:uid="{C8B249FF-C674-43AD-B79E-D26069A33D92}" name="PW 10%" dataDxfId="43">
      <calculatedColumnFormula>F3*10%</calculatedColumnFormula>
    </tableColumn>
    <tableColumn id="8" xr3:uid="{D0803C3C-6BA4-49EA-A750-F6BE6415A86F}" name="IAS" dataDxfId="42">
      <calculatedColumnFormula>C3+E3+G3</calculatedColumnFormula>
    </tableColumn>
    <tableColumn id="9" xr3:uid="{BB042B19-FFB0-455E-9C64-44FCDCD2073C}" name="END OF TERM" dataDxfId="41"/>
    <tableColumn id="10" xr3:uid="{95BE2D4F-A4A5-4B6C-9E3B-346AEDD8C0A8}" name="END OF TERM(50%)" dataDxfId="40">
      <calculatedColumnFormula>I3*50%</calculatedColumnFormula>
    </tableColumn>
    <tableColumn id="11" xr3:uid="{38C7DB35-F8E3-45BA-80C6-AADB65198DDA}" name="TOTAL" dataDxfId="39">
      <calculatedColumnFormula>ROUND(Table13[[#This Row],[IAS]]+Table13[[#This Row],[END OF TERM(50%)]],0)</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66867A-311C-469E-9ECB-28B3DAB4B032}" name="Table57" displayName="Table57" ref="M1:P4" totalsRowShown="0" headerRowDxfId="38">
  <autoFilter ref="M1:P4" xr:uid="{DF66867A-311C-469E-9ECB-28B3DAB4B032}"/>
  <tableColumns count="4">
    <tableColumn id="1" xr3:uid="{93385C86-E953-4561-A18B-72EA1DB56337}" name="Column1"/>
    <tableColumn id="2" xr3:uid="{1BDD3AFF-115F-4430-8C82-B3ACFBB02275}" name="CAT "/>
    <tableColumn id="3" xr3:uid="{C8B44A63-4954-43E8-9EB7-06478DD1407D}" name="MT"/>
    <tableColumn id="4" xr3:uid="{A9C60C6F-FCCE-44A3-B545-54815122B763}" name="Eo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E47E9E-590C-4C7E-AC82-074BE4CCDC04}" name="Table15" displayName="Table15" ref="A1:K80" totalsRowCount="1" headerRowDxfId="37" dataDxfId="36" tableBorderDxfId="35">
  <autoFilter ref="A1:K79" xr:uid="{48E47E9E-590C-4C7E-AC82-074BE4CCDC04}"/>
  <tableColumns count="11">
    <tableColumn id="1" xr3:uid="{59FF0998-3072-4BB7-BE7E-A6011127AF6F}" name="LEARNER'S NAME" totalsRowFunction="count" dataDxfId="34" totalsRowDxfId="33"/>
    <tableColumn id="2" xr3:uid="{F251C469-3376-4ECC-ACC9-1C6846A5DC23}" name="CAT (100%)" dataDxfId="32" totalsRowDxfId="31"/>
    <tableColumn id="3" xr3:uid="{6EE87F20-1D1E-44D8-8D71-EA31923AD0C2}" name="20%" dataDxfId="30" totalsRowDxfId="29">
      <calculatedColumnFormula>(B2/5)</calculatedColumnFormula>
    </tableColumn>
    <tableColumn id="4" xr3:uid="{D1EC12EA-E1AA-45CE-B94A-76DCDE1C67C5}" name="MTE (100%)" dataDxfId="28" totalsRowDxfId="27"/>
    <tableColumn id="5" xr3:uid="{6A1F0E19-600C-424D-933A-B53049DE7F6D}" name="20%2" dataDxfId="26" totalsRowDxfId="25">
      <calculatedColumnFormula>(D2/5)</calculatedColumnFormula>
    </tableColumn>
    <tableColumn id="6" xr3:uid="{732B7E80-B448-4252-8FDF-250E16AD5D2C}" name="P-WORK (100%)" dataDxfId="24" totalsRowDxfId="23"/>
    <tableColumn id="7" xr3:uid="{A0014D1A-2E2A-42F1-B6F5-9BC83EFCE414}" name="10%" dataDxfId="22" totalsRowDxfId="21">
      <calculatedColumnFormula>(F2/10)</calculatedColumnFormula>
    </tableColumn>
    <tableColumn id="8" xr3:uid="{2306FF94-C25C-423B-8FB0-77223B4DE582}" name="TOTAL (20+20+10)%" dataDxfId="20" totalsRowDxfId="19">
      <calculatedColumnFormula>SUM(C2,E2,G2)</calculatedColumnFormula>
    </tableColumn>
    <tableColumn id="9" xr3:uid="{35BEF67A-4B71-4A0B-ADF8-5B0688E68901}" name="ETE (100%)" dataDxfId="18" totalsRowDxfId="17"/>
    <tableColumn id="10" xr3:uid="{ECE6F19D-80C8-4CFC-AFE9-AC2B75B0142B}" name="50%" dataDxfId="16" totalsRowDxfId="15">
      <calculatedColumnFormula>(I2/2)</calculatedColumnFormula>
    </tableColumn>
    <tableColumn id="11" xr3:uid="{0F2B956D-CDD5-446E-85BD-739E1F403ED0}" name="(50+50)%" totalsRowFunction="sum" dataDxfId="14" totalsRowDxfId="13">
      <calculatedColumnFormula>SUM(H2,J2)</calculatedColumnFormula>
    </tableColumn>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7F9E3D2-5704-4DF8-865B-8FCCAF34E7EC}" name="Table578" displayName="Table578" ref="M2:P5" totalsRowShown="0">
  <autoFilter ref="M2:P5" xr:uid="{97F9E3D2-5704-4DF8-865B-8FCCAF34E7EC}"/>
  <tableColumns count="4">
    <tableColumn id="1" xr3:uid="{C1F40BCC-EA93-4D5D-97F2-F08849847E71}" name="Column1"/>
    <tableColumn id="2" xr3:uid="{2A16BC29-BCFE-411B-9498-B735E643A07C}" name="CAT "/>
    <tableColumn id="3" xr3:uid="{CC5E350B-32EE-40E4-9503-9D30B24AFBDB}" name="MT"/>
    <tableColumn id="4" xr3:uid="{A8A31CAB-32C5-4961-8286-31D90BD924E2}" name="Eo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010F59-A19F-4BB8-9D01-5CF18AE2691D}" name="Table1" displayName="Table1" ref="A2:K80" totalsRowShown="0" headerRowDxfId="12" dataDxfId="11">
  <autoFilter ref="A2:K80" xr:uid="{16010F59-A19F-4BB8-9D01-5CF18AE2691D}"/>
  <tableColumns count="11">
    <tableColumn id="1" xr3:uid="{A8715BAF-EE02-4A87-B3E8-187581B539DB}" name="NAMES" dataDxfId="10"/>
    <tableColumn id="2" xr3:uid="{34334D8C-AE70-4E0F-964D-0AD0532B5E87}" name="CAT (100%)" dataDxfId="9"/>
    <tableColumn id="3" xr3:uid="{8B90011E-4399-4006-BB2C-44E47F2CA549}" name="CAT (20%)" dataDxfId="8">
      <calculatedColumnFormula>B3/5</calculatedColumnFormula>
    </tableColumn>
    <tableColumn id="4" xr3:uid="{AAD64CDC-79DD-4544-8725-10740BCC3699}" name="MIDTERM" dataDxfId="7"/>
    <tableColumn id="5" xr3:uid="{2B973EB6-F5CD-4819-AFEB-0A485FD630C9}" name="MIDTERM 20" dataDxfId="6">
      <calculatedColumnFormula>D3/5</calculatedColumnFormula>
    </tableColumn>
    <tableColumn id="6" xr3:uid="{C7D26CED-FD18-4D83-B6EC-785FC67C7EC8}" name="PW" dataDxfId="5"/>
    <tableColumn id="7" xr3:uid="{500E2330-3A49-4745-9313-D1413541448E}" name="PW 10" dataDxfId="4"/>
    <tableColumn id="8" xr3:uid="{F868D222-9A17-4B4C-AB00-845103B7F0BB}" name="IAS" dataDxfId="3">
      <calculatedColumnFormula>C3+E3+G3</calculatedColumnFormula>
    </tableColumn>
    <tableColumn id="9" xr3:uid="{A1BE2584-BD6C-48A2-A77B-5921121D7D30}" name="ETE 100" dataDxfId="2"/>
    <tableColumn id="10" xr3:uid="{0035F1FA-927C-4CD5-8F7B-1DC2A4D21784}" name="ETE 50" dataDxfId="1">
      <calculatedColumnFormula>I3/2</calculatedColumnFormula>
    </tableColumn>
    <tableColumn id="11" xr3:uid="{83809B6D-1B0E-4CF2-B3CB-C8CE1F1EE975}" name="TOTAL" dataDxfId="0">
      <calculatedColumnFormula>J3+H3</calculatedColumnFormula>
    </tableColumn>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7BE6-9B99-4131-945A-C80805F1EA3A}">
  <sheetPr codeName="Sheet1"/>
  <dimension ref="B7:O14"/>
  <sheetViews>
    <sheetView showGridLines="0" showRowColHeaders="0" workbookViewId="0">
      <selection activeCell="L20" sqref="L20"/>
    </sheetView>
  </sheetViews>
  <sheetFormatPr defaultRowHeight="15" x14ac:dyDescent="0.25"/>
  <sheetData>
    <row r="7" spans="2:15" x14ac:dyDescent="0.25">
      <c r="B7" s="67" t="s">
        <v>257</v>
      </c>
      <c r="C7" s="67"/>
      <c r="D7" s="67"/>
      <c r="E7" s="67"/>
      <c r="F7" s="67"/>
      <c r="G7" s="67"/>
      <c r="H7" s="67"/>
      <c r="I7" s="67"/>
      <c r="J7" s="67"/>
      <c r="K7" s="67"/>
      <c r="L7" s="67"/>
      <c r="M7" s="67"/>
      <c r="N7" s="67"/>
      <c r="O7" s="67"/>
    </row>
    <row r="8" spans="2:15" x14ac:dyDescent="0.25">
      <c r="B8" s="67"/>
      <c r="C8" s="67"/>
      <c r="D8" s="67"/>
      <c r="E8" s="67"/>
      <c r="F8" s="67"/>
      <c r="G8" s="67"/>
      <c r="H8" s="67"/>
      <c r="I8" s="67"/>
      <c r="J8" s="67"/>
      <c r="K8" s="67"/>
      <c r="L8" s="67"/>
      <c r="M8" s="67"/>
      <c r="N8" s="67"/>
      <c r="O8" s="67"/>
    </row>
    <row r="9" spans="2:15" x14ac:dyDescent="0.25">
      <c r="B9" s="67"/>
      <c r="C9" s="67"/>
      <c r="D9" s="67"/>
      <c r="E9" s="67"/>
      <c r="F9" s="67"/>
      <c r="G9" s="67"/>
      <c r="H9" s="67"/>
      <c r="I9" s="67"/>
      <c r="J9" s="67"/>
      <c r="K9" s="67"/>
      <c r="L9" s="67"/>
      <c r="M9" s="67"/>
      <c r="N9" s="67"/>
      <c r="O9" s="67"/>
    </row>
    <row r="10" spans="2:15" x14ac:dyDescent="0.25">
      <c r="B10" s="67"/>
      <c r="C10" s="67"/>
      <c r="D10" s="67"/>
      <c r="E10" s="67"/>
      <c r="F10" s="67"/>
      <c r="G10" s="67"/>
      <c r="H10" s="67"/>
      <c r="I10" s="67"/>
      <c r="J10" s="67"/>
      <c r="K10" s="67"/>
      <c r="L10" s="67"/>
      <c r="M10" s="67"/>
      <c r="N10" s="67"/>
      <c r="O10" s="67"/>
    </row>
    <row r="11" spans="2:15" x14ac:dyDescent="0.25">
      <c r="B11" s="67"/>
      <c r="C11" s="67"/>
      <c r="D11" s="67"/>
      <c r="E11" s="67"/>
      <c r="F11" s="67"/>
      <c r="G11" s="67"/>
      <c r="H11" s="67"/>
      <c r="I11" s="67"/>
      <c r="J11" s="67"/>
      <c r="K11" s="67"/>
      <c r="L11" s="67"/>
      <c r="M11" s="67"/>
      <c r="N11" s="67"/>
      <c r="O11" s="67"/>
    </row>
    <row r="12" spans="2:15" x14ac:dyDescent="0.25">
      <c r="B12" s="67"/>
      <c r="C12" s="67"/>
      <c r="D12" s="67"/>
      <c r="E12" s="67"/>
      <c r="F12" s="67"/>
      <c r="G12" s="67"/>
      <c r="H12" s="67"/>
      <c r="I12" s="67"/>
      <c r="J12" s="67"/>
      <c r="K12" s="67"/>
      <c r="L12" s="67"/>
      <c r="M12" s="67"/>
      <c r="N12" s="67"/>
      <c r="O12" s="67"/>
    </row>
    <row r="13" spans="2:15" x14ac:dyDescent="0.25">
      <c r="B13" s="67"/>
      <c r="C13" s="67"/>
      <c r="D13" s="67"/>
      <c r="E13" s="67"/>
      <c r="F13" s="67"/>
      <c r="G13" s="67"/>
      <c r="H13" s="67"/>
      <c r="I13" s="67"/>
      <c r="J13" s="67"/>
      <c r="K13" s="67"/>
      <c r="L13" s="67"/>
      <c r="M13" s="67"/>
      <c r="N13" s="67"/>
      <c r="O13" s="67"/>
    </row>
    <row r="14" spans="2:15" x14ac:dyDescent="0.25">
      <c r="B14" s="67"/>
      <c r="C14" s="67"/>
      <c r="D14" s="67"/>
      <c r="E14" s="67"/>
      <c r="F14" s="67"/>
      <c r="G14" s="67"/>
      <c r="H14" s="67"/>
      <c r="I14" s="67"/>
      <c r="J14" s="67"/>
      <c r="K14" s="67"/>
      <c r="L14" s="67"/>
      <c r="M14" s="67"/>
      <c r="N14" s="67"/>
      <c r="O14" s="67"/>
    </row>
  </sheetData>
  <mergeCells count="1">
    <mergeCell ref="B7:O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2979E-55C7-443E-AA79-0CF5174339D2}">
  <sheetPr codeName="Sheet2"/>
  <dimension ref="U4:U24"/>
  <sheetViews>
    <sheetView showGridLines="0" showRowColHeaders="0" zoomScale="93" zoomScaleNormal="93" workbookViewId="0"/>
  </sheetViews>
  <sheetFormatPr defaultRowHeight="15" x14ac:dyDescent="0.25"/>
  <cols>
    <col min="1" max="16384" width="9.140625" style="66"/>
  </cols>
  <sheetData>
    <row r="4" spans="21:21" x14ac:dyDescent="0.25">
      <c r="U4" s="65"/>
    </row>
    <row r="21" s="66" customFormat="1" x14ac:dyDescent="0.25"/>
    <row r="24" s="66" customFormat="1" x14ac:dyDescent="0.25"/>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AD4E8-3C13-469D-974F-C15630407EC8}">
  <sheetPr codeName="Sheet3"/>
  <dimension ref="A2:D7"/>
  <sheetViews>
    <sheetView workbookViewId="0">
      <selection activeCell="V38" sqref="V38"/>
    </sheetView>
  </sheetViews>
  <sheetFormatPr defaultRowHeight="15.75" x14ac:dyDescent="0.25"/>
  <cols>
    <col min="1" max="1" width="4.7109375" bestFit="1" customWidth="1"/>
    <col min="2" max="2" width="4.28515625" bestFit="1" customWidth="1"/>
    <col min="4" max="4" width="9.140625" style="5"/>
  </cols>
  <sheetData>
    <row r="2" spans="1:1" x14ac:dyDescent="0.25">
      <c r="A2" s="48"/>
    </row>
    <row r="3" spans="1:1" ht="23.25" x14ac:dyDescent="0.35">
      <c r="A3" s="52" t="s">
        <v>167</v>
      </c>
    </row>
    <row r="4" spans="1:1" ht="23.25" x14ac:dyDescent="0.35">
      <c r="A4" s="51">
        <v>78</v>
      </c>
    </row>
    <row r="5" spans="1:1" x14ac:dyDescent="0.25">
      <c r="A5" s="48"/>
    </row>
    <row r="6" spans="1:1" x14ac:dyDescent="0.25">
      <c r="A6" s="48"/>
    </row>
    <row r="7" spans="1:1" x14ac:dyDescent="0.25">
      <c r="A7" s="4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E3C47-ED87-4833-BCE8-FB0E1448C585}">
  <sheetPr codeName="Sheet4"/>
  <dimension ref="A3:B6"/>
  <sheetViews>
    <sheetView workbookViewId="0">
      <selection activeCell="V38" sqref="V38"/>
    </sheetView>
  </sheetViews>
  <sheetFormatPr defaultRowHeight="15" x14ac:dyDescent="0.25"/>
  <cols>
    <col min="1" max="1" width="13.140625" bestFit="1" customWidth="1"/>
    <col min="2" max="2" width="21.85546875" bestFit="1" customWidth="1"/>
  </cols>
  <sheetData>
    <row r="3" spans="1:2" x14ac:dyDescent="0.25">
      <c r="A3" s="47" t="s">
        <v>146</v>
      </c>
      <c r="B3" t="s">
        <v>148</v>
      </c>
    </row>
    <row r="4" spans="1:2" x14ac:dyDescent="0.25">
      <c r="A4" s="4" t="s">
        <v>46</v>
      </c>
      <c r="B4" s="50">
        <v>854.59523809523807</v>
      </c>
    </row>
    <row r="5" spans="1:2" x14ac:dyDescent="0.25">
      <c r="A5" s="4" t="s">
        <v>47</v>
      </c>
      <c r="B5" s="50">
        <v>825.91666666666663</v>
      </c>
    </row>
    <row r="6" spans="1:2" x14ac:dyDescent="0.25">
      <c r="A6" s="4" t="s">
        <v>147</v>
      </c>
      <c r="B6" s="50">
        <v>841.35897435897436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2EFCF-578E-40DC-8A95-6661E926AE43}">
  <sheetPr codeName="Sheet21"/>
  <dimension ref="A3:B6"/>
  <sheetViews>
    <sheetView workbookViewId="0">
      <selection activeCell="B4" sqref="B4"/>
    </sheetView>
  </sheetViews>
  <sheetFormatPr defaultRowHeight="15" x14ac:dyDescent="0.25"/>
  <cols>
    <col min="1" max="1" width="13.140625" bestFit="1" customWidth="1"/>
    <col min="2" max="2" width="19.7109375" bestFit="1" customWidth="1"/>
  </cols>
  <sheetData>
    <row r="3" spans="1:2" x14ac:dyDescent="0.25">
      <c r="A3" s="47" t="s">
        <v>146</v>
      </c>
      <c r="B3" t="s">
        <v>153</v>
      </c>
    </row>
    <row r="4" spans="1:2" x14ac:dyDescent="0.25">
      <c r="A4" s="4" t="s">
        <v>46</v>
      </c>
      <c r="B4" s="49">
        <v>0.53846153846153844</v>
      </c>
    </row>
    <row r="5" spans="1:2" x14ac:dyDescent="0.25">
      <c r="A5" s="4" t="s">
        <v>47</v>
      </c>
      <c r="B5" s="49">
        <v>0.46153846153846156</v>
      </c>
    </row>
    <row r="6" spans="1:2" x14ac:dyDescent="0.25">
      <c r="A6" s="4" t="s">
        <v>147</v>
      </c>
      <c r="B6" s="49">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15EB0-7981-4622-BF99-05744CDB0892}">
  <sheetPr codeName="Sheet22"/>
  <dimension ref="A3:J4"/>
  <sheetViews>
    <sheetView workbookViewId="0">
      <selection activeCell="X3" sqref="X3"/>
    </sheetView>
  </sheetViews>
  <sheetFormatPr defaultRowHeight="15" x14ac:dyDescent="0.25"/>
  <cols>
    <col min="1" max="1" width="18.85546875" bestFit="1" customWidth="1"/>
    <col min="2" max="2" width="17.28515625" bestFit="1" customWidth="1"/>
    <col min="3" max="3" width="18.5703125" bestFit="1" customWidth="1"/>
    <col min="4" max="4" width="16.5703125" bestFit="1" customWidth="1"/>
    <col min="5" max="5" width="15.5703125" bestFit="1" customWidth="1"/>
    <col min="6" max="6" width="22.85546875" bestFit="1" customWidth="1"/>
    <col min="7" max="7" width="18.28515625" bestFit="1" customWidth="1"/>
    <col min="8" max="8" width="18.85546875" bestFit="1" customWidth="1"/>
    <col min="9" max="9" width="14.7109375" bestFit="1" customWidth="1"/>
    <col min="10" max="10" width="13.5703125" bestFit="1" customWidth="1"/>
  </cols>
  <sheetData>
    <row r="3" spans="1:10" x14ac:dyDescent="0.25">
      <c r="A3" t="s">
        <v>154</v>
      </c>
      <c r="B3" t="s">
        <v>155</v>
      </c>
      <c r="C3" t="s">
        <v>156</v>
      </c>
      <c r="D3" t="s">
        <v>157</v>
      </c>
      <c r="E3" t="s">
        <v>158</v>
      </c>
      <c r="F3" t="s">
        <v>159</v>
      </c>
      <c r="G3" t="s">
        <v>160</v>
      </c>
      <c r="H3" t="s">
        <v>161</v>
      </c>
      <c r="I3" t="s">
        <v>162</v>
      </c>
      <c r="J3" t="s">
        <v>163</v>
      </c>
    </row>
    <row r="4" spans="1:10" x14ac:dyDescent="0.25">
      <c r="A4" s="50">
        <v>87.141025641025635</v>
      </c>
      <c r="B4" s="50">
        <v>84.961538461538467</v>
      </c>
      <c r="C4" s="50">
        <v>85.15384615384616</v>
      </c>
      <c r="D4" s="50">
        <v>85.384615384615387</v>
      </c>
      <c r="E4" s="50">
        <v>87.080769230769207</v>
      </c>
      <c r="F4" s="50">
        <v>79.230769230769226</v>
      </c>
      <c r="G4" s="50">
        <v>85.817948717948724</v>
      </c>
      <c r="H4" s="50">
        <v>83.025641025641022</v>
      </c>
      <c r="I4" s="50">
        <v>79.492307692307662</v>
      </c>
      <c r="J4" s="50">
        <v>84.011538461538521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26319-FBBF-4277-898C-CE96EDD9A04A}">
  <sheetPr codeName="Sheet24"/>
  <dimension ref="A3:D7"/>
  <sheetViews>
    <sheetView workbookViewId="0">
      <selection activeCell="A5" sqref="A5"/>
    </sheetView>
  </sheetViews>
  <sheetFormatPr defaultRowHeight="15" x14ac:dyDescent="0.25"/>
  <cols>
    <col min="1" max="1" width="18.28515625" bestFit="1" customWidth="1"/>
    <col min="2" max="2" width="16.28515625" bestFit="1" customWidth="1"/>
    <col min="3" max="3" width="7.140625" bestFit="1" customWidth="1"/>
    <col min="4" max="5" width="11.28515625" bestFit="1" customWidth="1"/>
  </cols>
  <sheetData>
    <row r="3" spans="1:4" x14ac:dyDescent="0.25">
      <c r="A3" s="47" t="s">
        <v>150</v>
      </c>
      <c r="B3" s="47" t="s">
        <v>164</v>
      </c>
    </row>
    <row r="4" spans="1:4" x14ac:dyDescent="0.25">
      <c r="A4" s="47" t="s">
        <v>146</v>
      </c>
      <c r="B4" t="s">
        <v>165</v>
      </c>
      <c r="C4" t="s">
        <v>166</v>
      </c>
      <c r="D4" t="s">
        <v>147</v>
      </c>
    </row>
    <row r="5" spans="1:4" x14ac:dyDescent="0.25">
      <c r="A5" s="4" t="s">
        <v>46</v>
      </c>
      <c r="B5" s="49">
        <v>1.8917337642437245E-2</v>
      </c>
      <c r="C5" s="49">
        <v>0.98108266235756281</v>
      </c>
      <c r="D5" s="49">
        <v>1</v>
      </c>
    </row>
    <row r="6" spans="1:4" x14ac:dyDescent="0.25">
      <c r="A6" s="4" t="s">
        <v>47</v>
      </c>
      <c r="B6" s="49">
        <v>4.5336831130393836E-2</v>
      </c>
      <c r="C6" s="49">
        <v>0.95466316886960612</v>
      </c>
      <c r="D6" s="49">
        <v>1</v>
      </c>
    </row>
    <row r="7" spans="1:4" x14ac:dyDescent="0.25">
      <c r="A7" s="4" t="s">
        <v>147</v>
      </c>
      <c r="B7" s="49">
        <v>3.0887148386310303E-2</v>
      </c>
      <c r="C7" s="49">
        <v>0.96911285161368965</v>
      </c>
      <c r="D7" s="49">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A8378-1114-4ACE-91EF-984443EC2414}">
  <sheetPr codeName="Sheet25"/>
  <dimension ref="A3:A4"/>
  <sheetViews>
    <sheetView workbookViewId="0">
      <selection activeCell="A4" sqref="A4"/>
    </sheetView>
  </sheetViews>
  <sheetFormatPr defaultRowHeight="15" x14ac:dyDescent="0.25"/>
  <cols>
    <col min="1" max="1" width="5.5703125" bestFit="1" customWidth="1"/>
  </cols>
  <sheetData>
    <row r="3" spans="1:1" x14ac:dyDescent="0.25">
      <c r="A3" t="s">
        <v>168</v>
      </c>
    </row>
    <row r="4" spans="1:1" x14ac:dyDescent="0.25">
      <c r="A4" s="54">
        <v>841.35897435897436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1D523-11E0-46AA-A36D-439CCE698DE3}">
  <dimension ref="A3:B4"/>
  <sheetViews>
    <sheetView workbookViewId="0">
      <selection activeCell="I34" sqref="I34"/>
    </sheetView>
  </sheetViews>
  <sheetFormatPr defaultRowHeight="15" x14ac:dyDescent="0.25"/>
  <cols>
    <col min="1" max="1" width="10" bestFit="1" customWidth="1"/>
    <col min="2" max="2" width="9.7109375" bestFit="1" customWidth="1"/>
    <col min="3" max="3" width="19" bestFit="1" customWidth="1"/>
    <col min="4" max="4" width="11.28515625" bestFit="1" customWidth="1"/>
  </cols>
  <sheetData>
    <row r="3" spans="1:2" x14ac:dyDescent="0.25">
      <c r="A3" s="21" t="s">
        <v>170</v>
      </c>
      <c r="B3" s="21" t="s">
        <v>169</v>
      </c>
    </row>
    <row r="4" spans="1:2" x14ac:dyDescent="0.25">
      <c r="A4" s="53">
        <v>965</v>
      </c>
      <c r="B4" s="53">
        <v>658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C8DDF-7325-459F-A0A1-EFF8BD33F320}">
  <dimension ref="A3:A4"/>
  <sheetViews>
    <sheetView workbookViewId="0">
      <selection activeCell="A4" sqref="A4"/>
    </sheetView>
  </sheetViews>
  <sheetFormatPr defaultRowHeight="15" x14ac:dyDescent="0.25"/>
  <cols>
    <col min="1" max="1" width="4.85546875" bestFit="1" customWidth="1"/>
  </cols>
  <sheetData>
    <row r="3" spans="1:1" x14ac:dyDescent="0.25">
      <c r="A3" t="s">
        <v>171</v>
      </c>
    </row>
    <row r="4" spans="1:1" x14ac:dyDescent="0.25">
      <c r="A4" s="53">
        <v>965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96A1F-2942-4421-8C29-C7CA9BF5C045}">
  <dimension ref="A1:B4"/>
  <sheetViews>
    <sheetView workbookViewId="0">
      <selection activeCell="A4" sqref="A4"/>
    </sheetView>
  </sheetViews>
  <sheetFormatPr defaultRowHeight="15" x14ac:dyDescent="0.25"/>
  <cols>
    <col min="1" max="1" width="8.140625" bestFit="1" customWidth="1"/>
    <col min="2" max="2" width="5" bestFit="1" customWidth="1"/>
  </cols>
  <sheetData>
    <row r="1" spans="1:2" x14ac:dyDescent="0.25">
      <c r="A1" s="47" t="s">
        <v>45</v>
      </c>
      <c r="B1" t="s">
        <v>47</v>
      </c>
    </row>
    <row r="3" spans="1:2" x14ac:dyDescent="0.25">
      <c r="A3" t="s">
        <v>172</v>
      </c>
    </row>
    <row r="4" spans="1:2" x14ac:dyDescent="0.25">
      <c r="A4" s="53">
        <v>36</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15B7B-48DC-484F-A93F-666A863ED49E}">
  <dimension ref="A1:B4"/>
  <sheetViews>
    <sheetView workbookViewId="0">
      <selection activeCell="A4" sqref="A4"/>
    </sheetView>
  </sheetViews>
  <sheetFormatPr defaultRowHeight="15" x14ac:dyDescent="0.25"/>
  <cols>
    <col min="1" max="1" width="8.140625" bestFit="1" customWidth="1"/>
    <col min="2" max="2" width="4.28515625" bestFit="1" customWidth="1"/>
  </cols>
  <sheetData>
    <row r="1" spans="1:2" x14ac:dyDescent="0.25">
      <c r="A1" s="47" t="s">
        <v>45</v>
      </c>
      <c r="B1" t="s">
        <v>46</v>
      </c>
    </row>
    <row r="3" spans="1:2" x14ac:dyDescent="0.25">
      <c r="A3" t="s">
        <v>172</v>
      </c>
    </row>
    <row r="4" spans="1:2" x14ac:dyDescent="0.25">
      <c r="A4" s="53">
        <v>42</v>
      </c>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7948F-1CF8-4949-85A1-BF50246E7F06}">
  <dimension ref="A1:Q2"/>
  <sheetViews>
    <sheetView workbookViewId="0">
      <selection sqref="A1:Q2"/>
    </sheetView>
  </sheetViews>
  <sheetFormatPr defaultRowHeight="15" x14ac:dyDescent="0.25"/>
  <cols>
    <col min="2" max="2" width="10.42578125" customWidth="1"/>
    <col min="5" max="5" width="10.7109375" customWidth="1"/>
    <col min="6" max="6" width="10.42578125" customWidth="1"/>
    <col min="9" max="9" width="14.5703125" customWidth="1"/>
    <col min="10" max="10" width="10.140625" customWidth="1"/>
    <col min="11" max="11" width="10.7109375" customWidth="1"/>
    <col min="14" max="14" width="13.5703125" customWidth="1"/>
    <col min="15" max="15" width="12.5703125" customWidth="1"/>
    <col min="16" max="16" width="12.42578125" customWidth="1"/>
  </cols>
  <sheetData>
    <row r="1" spans="1:17" x14ac:dyDescent="0.25">
      <c r="A1" t="s">
        <v>0</v>
      </c>
      <c r="B1" t="s">
        <v>45</v>
      </c>
      <c r="C1" t="s">
        <v>138</v>
      </c>
      <c r="D1" t="s">
        <v>39</v>
      </c>
      <c r="E1" t="s">
        <v>40</v>
      </c>
      <c r="F1" t="s">
        <v>41</v>
      </c>
      <c r="G1" t="s">
        <v>42</v>
      </c>
      <c r="H1" t="s">
        <v>43</v>
      </c>
      <c r="I1" t="s">
        <v>144</v>
      </c>
      <c r="J1" t="s">
        <v>143</v>
      </c>
      <c r="K1" t="s">
        <v>44</v>
      </c>
      <c r="L1" t="s">
        <v>75</v>
      </c>
      <c r="M1" t="s">
        <v>85</v>
      </c>
      <c r="N1" t="s">
        <v>86</v>
      </c>
      <c r="O1" t="s">
        <v>149</v>
      </c>
      <c r="P1" t="s">
        <v>151</v>
      </c>
      <c r="Q1" t="s">
        <v>152</v>
      </c>
    </row>
    <row r="2" spans="1:17" x14ac:dyDescent="0.25">
      <c r="A2" t="s">
        <v>32</v>
      </c>
      <c r="B2" t="s">
        <v>46</v>
      </c>
      <c r="C2">
        <v>3</v>
      </c>
      <c r="D2">
        <v>89.8</v>
      </c>
      <c r="E2">
        <v>90</v>
      </c>
      <c r="F2">
        <v>11</v>
      </c>
      <c r="G2">
        <v>86</v>
      </c>
      <c r="H2">
        <v>92.8</v>
      </c>
      <c r="I2">
        <v>26</v>
      </c>
      <c r="J2">
        <v>83</v>
      </c>
      <c r="L2">
        <v>83.3</v>
      </c>
      <c r="M2">
        <v>78.099999999999994</v>
      </c>
      <c r="N2">
        <v>640</v>
      </c>
      <c r="O2" t="s">
        <v>173</v>
      </c>
      <c r="P2" t="s">
        <v>166</v>
      </c>
      <c r="Q2" t="s">
        <v>173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C582F-8E89-49ED-9223-D4FB2484AB87}">
  <sheetPr codeName="Sheet8"/>
  <dimension ref="A1:S80"/>
  <sheetViews>
    <sheetView topLeftCell="A2" workbookViewId="0">
      <pane ySplit="1" topLeftCell="A3" activePane="bottomLeft" state="frozen"/>
      <selection activeCell="B2" sqref="B2"/>
      <selection pane="bottomLeft" activeCell="O2" sqref="O2"/>
    </sheetView>
  </sheetViews>
  <sheetFormatPr defaultRowHeight="15" x14ac:dyDescent="0.25"/>
  <cols>
    <col min="1" max="1" width="16.42578125" bestFit="1" customWidth="1"/>
    <col min="2" max="2" width="6" bestFit="1" customWidth="1"/>
    <col min="3" max="3" width="8.28515625" bestFit="1" customWidth="1"/>
    <col min="4" max="4" width="6.140625" customWidth="1"/>
    <col min="6" max="6" width="10.7109375" customWidth="1"/>
    <col min="7" max="7" width="10.42578125" customWidth="1"/>
    <col min="10" max="10" width="12.42578125" bestFit="1" customWidth="1"/>
    <col min="11" max="11" width="10.140625" customWidth="1"/>
    <col min="12" max="12" width="10.7109375" customWidth="1"/>
    <col min="14" max="14" width="8.7109375" customWidth="1"/>
    <col min="15" max="17" width="13.5703125" customWidth="1"/>
    <col min="21" max="21" width="12" customWidth="1"/>
    <col min="22" max="22" width="18.5703125" customWidth="1"/>
  </cols>
  <sheetData>
    <row r="1" spans="1:19" hidden="1" x14ac:dyDescent="0.25"/>
    <row r="2" spans="1:19" x14ac:dyDescent="0.25">
      <c r="A2" t="s">
        <v>178</v>
      </c>
      <c r="B2" t="s">
        <v>174</v>
      </c>
      <c r="C2" t="s">
        <v>45</v>
      </c>
      <c r="D2" t="s">
        <v>138</v>
      </c>
      <c r="E2" s="64" t="s">
        <v>39</v>
      </c>
      <c r="F2" s="64" t="s">
        <v>40</v>
      </c>
      <c r="G2" s="64" t="s">
        <v>41</v>
      </c>
      <c r="H2" s="64" t="s">
        <v>42</v>
      </c>
      <c r="I2" s="64" t="s">
        <v>43</v>
      </c>
      <c r="J2" s="64" t="s">
        <v>144</v>
      </c>
      <c r="K2" s="64" t="s">
        <v>143</v>
      </c>
      <c r="L2" s="64" t="s">
        <v>44</v>
      </c>
      <c r="M2" s="64" t="s">
        <v>75</v>
      </c>
      <c r="N2" s="64" t="s">
        <v>85</v>
      </c>
      <c r="O2" t="s">
        <v>177</v>
      </c>
      <c r="P2" t="s">
        <v>176</v>
      </c>
      <c r="Q2" t="s">
        <v>175</v>
      </c>
      <c r="R2" t="s">
        <v>149</v>
      </c>
      <c r="S2" t="s">
        <v>151</v>
      </c>
    </row>
    <row r="3" spans="1:19" ht="15.75" x14ac:dyDescent="0.25">
      <c r="A3" s="5" t="s">
        <v>179</v>
      </c>
      <c r="B3" s="5">
        <v>1</v>
      </c>
      <c r="C3" s="5" t="s">
        <v>46</v>
      </c>
      <c r="D3" s="5">
        <v>3</v>
      </c>
      <c r="E3" s="5">
        <f>MATH!K4</f>
        <v>98</v>
      </c>
      <c r="F3" s="5">
        <f>Table9[[#This Row],[TOTAL]]</f>
        <v>97</v>
      </c>
      <c r="G3" s="5">
        <f>ROUND(Table10[[#This Row],[TOTAL]],0)</f>
        <v>93</v>
      </c>
      <c r="H3" s="5">
        <f>ROUND(Table11[[#This Row],[TOTAL]],0)</f>
        <v>97</v>
      </c>
      <c r="I3" s="5">
        <f>Table12[[#This Row],[TOTAL]]</f>
        <v>93</v>
      </c>
      <c r="J3" s="5">
        <f>Table1618[[#This Row],[TOTAL]]</f>
        <v>95</v>
      </c>
      <c r="K3" s="5">
        <f>Table16[[#This Row],[TOTAL]]</f>
        <v>92.5</v>
      </c>
      <c r="L3" s="5">
        <f>Table13[[#This Row],[TOTAL]]</f>
        <v>95</v>
      </c>
      <c r="M3" s="5">
        <v>86.4</v>
      </c>
      <c r="N3" s="5">
        <v>82.9</v>
      </c>
      <c r="O3" s="5">
        <f>ROUND(SUM(DATA[[#This Row],[MATH]:[CA]]),0)</f>
        <v>930</v>
      </c>
      <c r="P3" s="5">
        <f>ROUND(AVERAGE(DATA[[#This Row],[MATH]:[CA]]),0)</f>
        <v>93</v>
      </c>
      <c r="Q3" s="5">
        <v>60</v>
      </c>
      <c r="R3" s="5" t="str">
        <f>IF(DATA[[#This Row],[TOTAL (1000)]]&lt;700,"HELP","")</f>
        <v/>
      </c>
      <c r="S3" s="5" t="str">
        <f>IF(DATA[[#This Row],[TOTAL (1000)]]&gt;=700, "PASS","FAIL")</f>
        <v>PASS</v>
      </c>
    </row>
    <row r="4" spans="1:19" ht="15.75" x14ac:dyDescent="0.25">
      <c r="A4" s="5" t="s">
        <v>180</v>
      </c>
      <c r="B4" s="5">
        <v>1</v>
      </c>
      <c r="C4" s="5" t="s">
        <v>46</v>
      </c>
      <c r="D4" s="5">
        <v>3</v>
      </c>
      <c r="E4" s="5">
        <f>MATH!K5</f>
        <v>79</v>
      </c>
      <c r="F4" s="5">
        <f>Table9[[#This Row],[TOTAL]]</f>
        <v>88</v>
      </c>
      <c r="G4" s="5">
        <f>ROUND(Table10[[#This Row],[TOTAL]],0)</f>
        <v>88</v>
      </c>
      <c r="H4" s="5">
        <f>ROUND(Table11[[#This Row],[TOTAL]],0)</f>
        <v>86</v>
      </c>
      <c r="I4" s="5">
        <f>Table12[[#This Row],[TOTAL]]</f>
        <v>75.400000000000006</v>
      </c>
      <c r="J4" s="5">
        <f>Table1618[[#This Row],[TOTAL]]</f>
        <v>79</v>
      </c>
      <c r="K4" s="5">
        <f>Table16[[#This Row],[TOTAL]]</f>
        <v>84.5</v>
      </c>
      <c r="L4" s="5">
        <f>Table13[[#This Row],[TOTAL]]</f>
        <v>84</v>
      </c>
      <c r="M4" s="5">
        <v>87.7</v>
      </c>
      <c r="N4" s="5">
        <v>68.400000000000006</v>
      </c>
      <c r="O4" s="5">
        <f>ROUND(SUM(DATA[[#This Row],[MATH]:[CA]]),0)</f>
        <v>820</v>
      </c>
      <c r="P4" s="5">
        <f>ROUND(AVERAGE(DATA[[#This Row],[MATH]:[CA]]),0)</f>
        <v>82</v>
      </c>
      <c r="Q4" s="5">
        <v>60</v>
      </c>
      <c r="R4" s="5" t="str">
        <f>IF(DATA[[#This Row],[TOTAL (1000)]]&lt;700,"HELP","")</f>
        <v/>
      </c>
      <c r="S4" s="5" t="str">
        <f>IF(DATA[[#This Row],[TOTAL (1000)]]&gt;=700, "PASS","FAIL")</f>
        <v>PASS</v>
      </c>
    </row>
    <row r="5" spans="1:19" ht="15.75" x14ac:dyDescent="0.25">
      <c r="A5" s="5" t="s">
        <v>181</v>
      </c>
      <c r="B5" s="5">
        <v>1</v>
      </c>
      <c r="C5" s="5" t="s">
        <v>46</v>
      </c>
      <c r="D5" s="5">
        <v>3</v>
      </c>
      <c r="E5" s="5">
        <f>MATH!K6</f>
        <v>90</v>
      </c>
      <c r="F5" s="5">
        <f>Table9[[#This Row],[TOTAL]]</f>
        <v>90</v>
      </c>
      <c r="G5" s="5">
        <f>ROUND(Table10[[#This Row],[TOTAL]],0)</f>
        <v>83</v>
      </c>
      <c r="H5" s="5">
        <f>ROUND(Table11[[#This Row],[TOTAL]],0)</f>
        <v>86</v>
      </c>
      <c r="I5" s="5">
        <f>Table12[[#This Row],[TOTAL]]</f>
        <v>92.8</v>
      </c>
      <c r="J5" s="5">
        <f>Table1618[[#This Row],[TOTAL]]</f>
        <v>81</v>
      </c>
      <c r="K5" s="5">
        <f>Table16[[#This Row],[TOTAL]]</f>
        <v>83</v>
      </c>
      <c r="L5" s="5">
        <f>Table13[[#This Row],[TOTAL]]</f>
        <v>91</v>
      </c>
      <c r="M5" s="5">
        <v>83.3</v>
      </c>
      <c r="N5" s="5">
        <v>78.099999999999994</v>
      </c>
      <c r="O5" s="5">
        <f>ROUND(SUM(DATA[[#This Row],[MATH]:[CA]]),0)</f>
        <v>858</v>
      </c>
      <c r="P5" s="5">
        <f>ROUND(AVERAGE(DATA[[#This Row],[MATH]:[CA]]),0)</f>
        <v>86</v>
      </c>
      <c r="Q5" s="5">
        <v>59</v>
      </c>
      <c r="R5" s="5" t="str">
        <f>IF(DATA[[#This Row],[TOTAL (1000)]]&lt;700,"HELP","")</f>
        <v/>
      </c>
      <c r="S5" s="5" t="str">
        <f>IF(DATA[[#This Row],[TOTAL (1000)]]&gt;=700, "PASS","FAIL")</f>
        <v>PASS</v>
      </c>
    </row>
    <row r="6" spans="1:19" ht="15.75" x14ac:dyDescent="0.25">
      <c r="A6" s="5" t="s">
        <v>182</v>
      </c>
      <c r="B6" s="5">
        <v>1</v>
      </c>
      <c r="C6" s="5" t="s">
        <v>47</v>
      </c>
      <c r="D6" s="5">
        <v>3</v>
      </c>
      <c r="E6" s="5">
        <f>MATH!K7</f>
        <v>83</v>
      </c>
      <c r="F6" s="5">
        <f>Table9[[#This Row],[TOTAL]]</f>
        <v>83</v>
      </c>
      <c r="G6" s="5">
        <f>ROUND(Table10[[#This Row],[TOTAL]],0)</f>
        <v>86</v>
      </c>
      <c r="H6" s="5">
        <f>ROUND(Table11[[#This Row],[TOTAL]],0)</f>
        <v>91</v>
      </c>
      <c r="I6" s="5">
        <f>Table12[[#This Row],[TOTAL]]</f>
        <v>84.2</v>
      </c>
      <c r="J6" s="5">
        <f>Table1618[[#This Row],[TOTAL]]</f>
        <v>82</v>
      </c>
      <c r="K6" s="5">
        <f>Table16[[#This Row],[TOTAL]]</f>
        <v>92.5</v>
      </c>
      <c r="L6" s="5">
        <f>Table13[[#This Row],[TOTAL]]</f>
        <v>93</v>
      </c>
      <c r="M6" s="5">
        <v>88.3</v>
      </c>
      <c r="N6" s="5">
        <v>71.400000000000006</v>
      </c>
      <c r="O6" s="5">
        <f>ROUND(SUM(DATA[[#This Row],[MATH]:[CA]]),0)</f>
        <v>854</v>
      </c>
      <c r="P6" s="5">
        <f>ROUND(AVERAGE(DATA[[#This Row],[MATH]:[CA]]),0)</f>
        <v>85</v>
      </c>
      <c r="Q6" s="5">
        <v>58</v>
      </c>
      <c r="R6" s="5" t="str">
        <f>IF(DATA[[#This Row],[TOTAL (1000)]]&lt;700,"HELP","")</f>
        <v/>
      </c>
      <c r="S6" s="5" t="str">
        <f>IF(DATA[[#This Row],[TOTAL (1000)]]&gt;=700, "PASS","FAIL")</f>
        <v>PASS</v>
      </c>
    </row>
    <row r="7" spans="1:19" ht="15.75" x14ac:dyDescent="0.25">
      <c r="A7" s="5" t="s">
        <v>183</v>
      </c>
      <c r="B7" s="5">
        <v>1</v>
      </c>
      <c r="C7" s="5" t="s">
        <v>46</v>
      </c>
      <c r="D7" s="5">
        <v>3</v>
      </c>
      <c r="E7" s="5">
        <f>MATH!K8</f>
        <v>83</v>
      </c>
      <c r="F7" s="5">
        <f>Table9[[#This Row],[TOTAL]]</f>
        <v>87</v>
      </c>
      <c r="G7" s="5">
        <f>ROUND(Table10[[#This Row],[TOTAL]],0)</f>
        <v>85</v>
      </c>
      <c r="H7" s="5">
        <f>ROUND(Table11[[#This Row],[TOTAL]],0)</f>
        <v>91</v>
      </c>
      <c r="I7" s="5">
        <f>Table12[[#This Row],[TOTAL]]</f>
        <v>84.6</v>
      </c>
      <c r="J7" s="5">
        <f>Table1618[[#This Row],[TOTAL]]</f>
        <v>82</v>
      </c>
      <c r="K7" s="5">
        <f>Table16[[#This Row],[TOTAL]]</f>
        <v>79</v>
      </c>
      <c r="L7" s="5">
        <f>Table13[[#This Row],[TOTAL]]</f>
        <v>86</v>
      </c>
      <c r="M7" s="5">
        <v>71.099999999999994</v>
      </c>
      <c r="N7" s="5">
        <v>72.5</v>
      </c>
      <c r="O7" s="5">
        <f>ROUND(SUM(DATA[[#This Row],[MATH]:[CA]]),0)</f>
        <v>821</v>
      </c>
      <c r="P7" s="5">
        <f>ROUND(AVERAGE(DATA[[#This Row],[MATH]:[CA]]),0)</f>
        <v>82</v>
      </c>
      <c r="Q7" s="5">
        <v>60</v>
      </c>
      <c r="R7" s="5" t="str">
        <f>IF(DATA[[#This Row],[TOTAL (1000)]]&lt;700,"HELP","")</f>
        <v/>
      </c>
      <c r="S7" s="5" t="str">
        <f>IF(DATA[[#This Row],[TOTAL (1000)]]&gt;=700, "PASS","FAIL")</f>
        <v>PASS</v>
      </c>
    </row>
    <row r="8" spans="1:19" ht="15.75" x14ac:dyDescent="0.25">
      <c r="A8" s="5" t="s">
        <v>184</v>
      </c>
      <c r="B8" s="5">
        <v>1</v>
      </c>
      <c r="C8" s="5" t="s">
        <v>47</v>
      </c>
      <c r="D8" s="5">
        <v>3</v>
      </c>
      <c r="E8" s="5">
        <f>MATH!K9</f>
        <v>87</v>
      </c>
      <c r="F8" s="5">
        <f>Table9[[#This Row],[TOTAL]]</f>
        <v>96</v>
      </c>
      <c r="G8" s="5">
        <f>ROUND(Table10[[#This Row],[TOTAL]],0)</f>
        <v>92</v>
      </c>
      <c r="H8" s="5">
        <f>ROUND(Table11[[#This Row],[TOTAL]],0)</f>
        <v>90</v>
      </c>
      <c r="I8" s="5">
        <f>Table12[[#This Row],[TOTAL]]</f>
        <v>93</v>
      </c>
      <c r="J8" s="5">
        <f>Table1618[[#This Row],[TOTAL]]</f>
        <v>90</v>
      </c>
      <c r="K8" s="5">
        <f>Table16[[#This Row],[TOTAL]]</f>
        <v>84.5</v>
      </c>
      <c r="L8" s="5">
        <f>Table13[[#This Row],[TOTAL]]</f>
        <v>88</v>
      </c>
      <c r="M8" s="5">
        <v>95.6</v>
      </c>
      <c r="N8" s="5">
        <v>98</v>
      </c>
      <c r="O8" s="5">
        <f>ROUND(SUM(DATA[[#This Row],[MATH]:[CA]]),0)</f>
        <v>914</v>
      </c>
      <c r="P8" s="5">
        <f>ROUND(AVERAGE(DATA[[#This Row],[MATH]:[CA]]),0)</f>
        <v>91</v>
      </c>
      <c r="Q8" s="5">
        <v>60</v>
      </c>
      <c r="R8" s="5" t="str">
        <f>IF(DATA[[#This Row],[TOTAL (1000)]]&lt;700,"HELP","")</f>
        <v/>
      </c>
      <c r="S8" s="5" t="str">
        <f>IF(DATA[[#This Row],[TOTAL (1000)]]&gt;=700, "PASS","FAIL")</f>
        <v>PASS</v>
      </c>
    </row>
    <row r="9" spans="1:19" ht="15.75" x14ac:dyDescent="0.25">
      <c r="A9" s="5" t="s">
        <v>185</v>
      </c>
      <c r="B9" s="5">
        <v>1</v>
      </c>
      <c r="C9" s="5" t="s">
        <v>46</v>
      </c>
      <c r="D9" s="5">
        <v>3</v>
      </c>
      <c r="E9" s="5">
        <f>MATH!K10</f>
        <v>97</v>
      </c>
      <c r="F9" s="5">
        <f>Table9[[#This Row],[TOTAL]]</f>
        <v>93</v>
      </c>
      <c r="G9" s="5">
        <f>ROUND(Table10[[#This Row],[TOTAL]],0)</f>
        <v>91</v>
      </c>
      <c r="H9" s="5">
        <f>ROUND(Table11[[#This Row],[TOTAL]],0)</f>
        <v>97</v>
      </c>
      <c r="I9" s="5">
        <f>Table12[[#This Row],[TOTAL]]</f>
        <v>95</v>
      </c>
      <c r="J9" s="5">
        <f>Table1618[[#This Row],[TOTAL]]</f>
        <v>91</v>
      </c>
      <c r="K9" s="5">
        <f>Table16[[#This Row],[TOTAL]]</f>
        <v>97.5</v>
      </c>
      <c r="L9" s="5">
        <f>Table13[[#This Row],[TOTAL]]</f>
        <v>96</v>
      </c>
      <c r="M9" s="5">
        <v>93</v>
      </c>
      <c r="N9" s="5">
        <v>76.5</v>
      </c>
      <c r="O9" s="5">
        <f>ROUND(SUM(DATA[[#This Row],[MATH]:[CA]]),0)</f>
        <v>927</v>
      </c>
      <c r="P9" s="5">
        <f>ROUND(AVERAGE(DATA[[#This Row],[MATH]:[CA]]),0)</f>
        <v>93</v>
      </c>
      <c r="Q9" s="5">
        <v>60</v>
      </c>
      <c r="R9" s="5" t="str">
        <f>IF(DATA[[#This Row],[TOTAL (1000)]]&lt;700,"HELP","")</f>
        <v/>
      </c>
      <c r="S9" s="5" t="str">
        <f>IF(DATA[[#This Row],[TOTAL (1000)]]&gt;=700, "PASS","FAIL")</f>
        <v>PASS</v>
      </c>
    </row>
    <row r="10" spans="1:19" ht="15.75" x14ac:dyDescent="0.25">
      <c r="A10" s="5" t="s">
        <v>186</v>
      </c>
      <c r="B10" s="5">
        <v>1</v>
      </c>
      <c r="C10" s="5" t="s">
        <v>47</v>
      </c>
      <c r="D10" s="5">
        <v>3</v>
      </c>
      <c r="E10" s="5">
        <f>MATH!K11</f>
        <v>82</v>
      </c>
      <c r="F10" s="5">
        <f>Table9[[#This Row],[TOTAL]]</f>
        <v>89</v>
      </c>
      <c r="G10" s="5">
        <f>ROUND(Table10[[#This Row],[TOTAL]],0)</f>
        <v>73</v>
      </c>
      <c r="H10" s="5">
        <f>ROUND(Table11[[#This Row],[TOTAL]],0)</f>
        <v>91</v>
      </c>
      <c r="I10" s="5">
        <f>Table12[[#This Row],[TOTAL]]</f>
        <v>86.2</v>
      </c>
      <c r="J10" s="5">
        <f>Table1618[[#This Row],[TOTAL]]</f>
        <v>84</v>
      </c>
      <c r="K10" s="5">
        <f>Table16[[#This Row],[TOTAL]]</f>
        <v>87.5</v>
      </c>
      <c r="L10" s="5">
        <f>Table13[[#This Row],[TOTAL]]</f>
        <v>88</v>
      </c>
      <c r="M10" s="5">
        <v>80.599999999999994</v>
      </c>
      <c r="N10" s="5">
        <v>78.8</v>
      </c>
      <c r="O10" s="5">
        <f>ROUND(SUM(DATA[[#This Row],[MATH]:[CA]]),0)</f>
        <v>840</v>
      </c>
      <c r="P10" s="5">
        <f>ROUND(AVERAGE(DATA[[#This Row],[MATH]:[CA]]),0)</f>
        <v>84</v>
      </c>
      <c r="Q10" s="5">
        <v>60</v>
      </c>
      <c r="R10" s="5" t="str">
        <f>IF(DATA[[#This Row],[TOTAL (1000)]]&lt;700,"HELP","")</f>
        <v/>
      </c>
      <c r="S10" s="5" t="str">
        <f>IF(DATA[[#This Row],[TOTAL (1000)]]&gt;=700, "PASS","FAIL")</f>
        <v>PASS</v>
      </c>
    </row>
    <row r="11" spans="1:19" ht="15.75" x14ac:dyDescent="0.25">
      <c r="A11" s="5" t="s">
        <v>187</v>
      </c>
      <c r="B11" s="5">
        <v>1</v>
      </c>
      <c r="C11" s="5" t="s">
        <v>47</v>
      </c>
      <c r="D11" s="5">
        <v>3</v>
      </c>
      <c r="E11" s="5">
        <f>MATH!K12</f>
        <v>97</v>
      </c>
      <c r="F11" s="5">
        <f>Table9[[#This Row],[TOTAL]]</f>
        <v>96</v>
      </c>
      <c r="G11" s="5">
        <f>ROUND(Table10[[#This Row],[TOTAL]],0)</f>
        <v>93</v>
      </c>
      <c r="H11" s="5">
        <f>ROUND(Table11[[#This Row],[TOTAL]],0)</f>
        <v>97</v>
      </c>
      <c r="I11" s="5">
        <f>Table12[[#This Row],[TOTAL]]</f>
        <v>93.6</v>
      </c>
      <c r="J11" s="5">
        <f>Table1618[[#This Row],[TOTAL]]</f>
        <v>91</v>
      </c>
      <c r="K11" s="5">
        <f>Table16[[#This Row],[TOTAL]]</f>
        <v>83.5</v>
      </c>
      <c r="L11" s="5">
        <f>Table13[[#This Row],[TOTAL]]</f>
        <v>94</v>
      </c>
      <c r="M11" s="5">
        <v>81.2</v>
      </c>
      <c r="N11" s="5">
        <v>69.5</v>
      </c>
      <c r="O11" s="5">
        <f>ROUND(SUM(DATA[[#This Row],[MATH]:[CA]]),0)</f>
        <v>896</v>
      </c>
      <c r="P11" s="5">
        <f>ROUND(AVERAGE(DATA[[#This Row],[MATH]:[CA]]),0)</f>
        <v>90</v>
      </c>
      <c r="Q11" s="5">
        <v>57</v>
      </c>
      <c r="R11" s="5" t="str">
        <f>IF(DATA[[#This Row],[TOTAL (1000)]]&lt;700,"HELP","")</f>
        <v/>
      </c>
      <c r="S11" s="5" t="str">
        <f>IF(DATA[[#This Row],[TOTAL (1000)]]&gt;=700, "PASS","FAIL")</f>
        <v>PASS</v>
      </c>
    </row>
    <row r="12" spans="1:19" ht="15.75" x14ac:dyDescent="0.25">
      <c r="A12" s="5" t="s">
        <v>188</v>
      </c>
      <c r="B12" s="5">
        <v>1</v>
      </c>
      <c r="C12" s="5" t="s">
        <v>47</v>
      </c>
      <c r="D12" s="5">
        <v>3</v>
      </c>
      <c r="E12" s="5">
        <f>MATH!K13</f>
        <v>88</v>
      </c>
      <c r="F12" s="5">
        <f>Table9[[#This Row],[TOTAL]]</f>
        <v>79</v>
      </c>
      <c r="G12" s="5">
        <f>ROUND(Table10[[#This Row],[TOTAL]],0)</f>
        <v>82</v>
      </c>
      <c r="H12" s="5">
        <f>ROUND(Table11[[#This Row],[TOTAL]],0)</f>
        <v>58</v>
      </c>
      <c r="I12" s="5">
        <f>Table12[[#This Row],[TOTAL]]</f>
        <v>76.3</v>
      </c>
      <c r="J12" s="5">
        <f>Table1618[[#This Row],[TOTAL]]</f>
        <v>80</v>
      </c>
      <c r="K12" s="5">
        <f>Table16[[#This Row],[TOTAL]]</f>
        <v>70.5</v>
      </c>
      <c r="L12" s="5">
        <f>Table13[[#This Row],[TOTAL]]</f>
        <v>85</v>
      </c>
      <c r="M12" s="5">
        <v>92.1</v>
      </c>
      <c r="N12" s="5">
        <v>91.9</v>
      </c>
      <c r="O12" s="5">
        <f>ROUND(SUM(DATA[[#This Row],[MATH]:[CA]]),0)</f>
        <v>803</v>
      </c>
      <c r="P12" s="5">
        <f>ROUND(AVERAGE(DATA[[#This Row],[MATH]:[CA]]),0)</f>
        <v>80</v>
      </c>
      <c r="Q12" s="5">
        <v>58</v>
      </c>
      <c r="R12" s="5" t="str">
        <f>IF(DATA[[#This Row],[TOTAL (1000)]]&lt;700,"HELP","")</f>
        <v/>
      </c>
      <c r="S12" s="5" t="str">
        <f>IF(DATA[[#This Row],[TOTAL (1000)]]&gt;=700, "PASS","FAIL")</f>
        <v>PASS</v>
      </c>
    </row>
    <row r="13" spans="1:19" ht="15.75" x14ac:dyDescent="0.25">
      <c r="A13" s="5" t="s">
        <v>189</v>
      </c>
      <c r="B13" s="5">
        <v>1</v>
      </c>
      <c r="C13" s="5" t="s">
        <v>47</v>
      </c>
      <c r="D13" s="5">
        <v>3</v>
      </c>
      <c r="E13" s="5">
        <f>MATH!K14</f>
        <v>85</v>
      </c>
      <c r="F13" s="5">
        <f>Table9[[#This Row],[TOTAL]]</f>
        <v>77</v>
      </c>
      <c r="G13" s="5">
        <f>ROUND(Table10[[#This Row],[TOTAL]],0)</f>
        <v>71</v>
      </c>
      <c r="H13" s="5">
        <f>ROUND(Table11[[#This Row],[TOTAL]],0)</f>
        <v>48</v>
      </c>
      <c r="I13" s="5">
        <f>Table12[[#This Row],[TOTAL]]</f>
        <v>66.900000000000006</v>
      </c>
      <c r="J13" s="5">
        <f>Table1618[[#This Row],[TOTAL]]</f>
        <v>78</v>
      </c>
      <c r="K13" s="5">
        <f>Table16[[#This Row],[TOTAL]]</f>
        <v>78</v>
      </c>
      <c r="L13" s="5">
        <f>Table13[[#This Row],[TOTAL]]</f>
        <v>81</v>
      </c>
      <c r="M13" s="5">
        <v>69.099999999999994</v>
      </c>
      <c r="N13" s="5">
        <v>74.5</v>
      </c>
      <c r="O13" s="5">
        <f>ROUND(SUM(DATA[[#This Row],[MATH]:[CA]]),0)</f>
        <v>729</v>
      </c>
      <c r="P13" s="5">
        <f>ROUND(AVERAGE(DATA[[#This Row],[MATH]:[CA]]),0)</f>
        <v>73</v>
      </c>
      <c r="Q13" s="5">
        <v>54</v>
      </c>
      <c r="R13" s="5" t="str">
        <f>IF(DATA[[#This Row],[TOTAL (1000)]]&lt;700,"HELP","")</f>
        <v/>
      </c>
      <c r="S13" s="5" t="str">
        <f>IF(DATA[[#This Row],[TOTAL (1000)]]&gt;=700, "PASS","FAIL")</f>
        <v>PASS</v>
      </c>
    </row>
    <row r="14" spans="1:19" ht="15.75" x14ac:dyDescent="0.25">
      <c r="A14" s="5" t="s">
        <v>190</v>
      </c>
      <c r="B14" s="5">
        <v>1</v>
      </c>
      <c r="C14" s="5" t="s">
        <v>46</v>
      </c>
      <c r="D14" s="5">
        <v>3</v>
      </c>
      <c r="E14" s="5">
        <f>MATH!K15</f>
        <v>86</v>
      </c>
      <c r="F14" s="5">
        <f>Table9[[#This Row],[TOTAL]]</f>
        <v>91</v>
      </c>
      <c r="G14" s="5">
        <f>ROUND(Table10[[#This Row],[TOTAL]],0)</f>
        <v>80</v>
      </c>
      <c r="H14" s="5">
        <f>ROUND(Table11[[#This Row],[TOTAL]],0)</f>
        <v>93</v>
      </c>
      <c r="I14" s="5">
        <f>Table12[[#This Row],[TOTAL]]</f>
        <v>83.5</v>
      </c>
      <c r="J14" s="5">
        <f>Table1618[[#This Row],[TOTAL]]</f>
        <v>87</v>
      </c>
      <c r="K14" s="5">
        <f>Table16[[#This Row],[TOTAL]]</f>
        <v>87.5</v>
      </c>
      <c r="L14" s="5">
        <f>Table13[[#This Row],[TOTAL]]</f>
        <v>92</v>
      </c>
      <c r="M14" s="5">
        <v>90</v>
      </c>
      <c r="N14" s="5">
        <v>85.6</v>
      </c>
      <c r="O14" s="5">
        <f>ROUND(SUM(DATA[[#This Row],[MATH]:[CA]]),0)</f>
        <v>876</v>
      </c>
      <c r="P14" s="5">
        <f>ROUND(AVERAGE(DATA[[#This Row],[MATH]:[CA]]),0)</f>
        <v>88</v>
      </c>
      <c r="Q14" s="5">
        <v>56</v>
      </c>
      <c r="R14" s="5" t="str">
        <f>IF(DATA[[#This Row],[TOTAL (1000)]]&lt;700,"HELP","")</f>
        <v/>
      </c>
      <c r="S14" s="5" t="str">
        <f>IF(DATA[[#This Row],[TOTAL (1000)]]&gt;=700, "PASS","FAIL")</f>
        <v>PASS</v>
      </c>
    </row>
    <row r="15" spans="1:19" ht="15.75" x14ac:dyDescent="0.25">
      <c r="A15" s="5" t="s">
        <v>191</v>
      </c>
      <c r="B15" s="5">
        <v>1</v>
      </c>
      <c r="C15" s="5" t="s">
        <v>47</v>
      </c>
      <c r="D15" s="5">
        <v>3</v>
      </c>
      <c r="E15" s="5">
        <f>MATH!K16</f>
        <v>96</v>
      </c>
      <c r="F15" s="5">
        <f>Table9[[#This Row],[TOTAL]]</f>
        <v>89</v>
      </c>
      <c r="G15" s="5">
        <f>ROUND(Table10[[#This Row],[TOTAL]],0)</f>
        <v>72</v>
      </c>
      <c r="H15" s="5">
        <f>ROUND(Table11[[#This Row],[TOTAL]],0)</f>
        <v>94</v>
      </c>
      <c r="I15" s="5">
        <f>Table12[[#This Row],[TOTAL]]</f>
        <v>87.1</v>
      </c>
      <c r="J15" s="5">
        <f>Table1618[[#This Row],[TOTAL]]</f>
        <v>86</v>
      </c>
      <c r="K15" s="5">
        <f>Table16[[#This Row],[TOTAL]]</f>
        <v>90</v>
      </c>
      <c r="L15" s="5">
        <f>Table13[[#This Row],[TOTAL]]</f>
        <v>94</v>
      </c>
      <c r="M15" s="5">
        <v>89.2</v>
      </c>
      <c r="N15" s="5">
        <v>72.5</v>
      </c>
      <c r="O15" s="5">
        <f>ROUND(SUM(DATA[[#This Row],[MATH]:[CA]]),0)</f>
        <v>870</v>
      </c>
      <c r="P15" s="5">
        <f>ROUND(AVERAGE(DATA[[#This Row],[MATH]:[CA]]),0)</f>
        <v>87</v>
      </c>
      <c r="Q15" s="5">
        <v>45</v>
      </c>
      <c r="R15" s="5" t="str">
        <f>IF(DATA[[#This Row],[TOTAL (1000)]]&lt;700,"HELP","")</f>
        <v/>
      </c>
      <c r="S15" s="5" t="str">
        <f>IF(DATA[[#This Row],[TOTAL (1000)]]&gt;=700, "PASS","FAIL")</f>
        <v>PASS</v>
      </c>
    </row>
    <row r="16" spans="1:19" ht="15.75" x14ac:dyDescent="0.25">
      <c r="A16" s="5" t="s">
        <v>192</v>
      </c>
      <c r="B16" s="5">
        <v>1</v>
      </c>
      <c r="C16" s="5" t="s">
        <v>46</v>
      </c>
      <c r="D16" s="5">
        <v>3</v>
      </c>
      <c r="E16" s="5">
        <f>MATH!K17</f>
        <v>88</v>
      </c>
      <c r="F16" s="5">
        <f>Table9[[#This Row],[TOTAL]]</f>
        <v>91</v>
      </c>
      <c r="G16" s="5">
        <f>ROUND(Table10[[#This Row],[TOTAL]],0)</f>
        <v>83</v>
      </c>
      <c r="H16" s="5">
        <f>ROUND(Table11[[#This Row],[TOTAL]],0)</f>
        <v>85</v>
      </c>
      <c r="I16" s="5">
        <f>Table12[[#This Row],[TOTAL]]</f>
        <v>87.8</v>
      </c>
      <c r="J16" s="5">
        <f>Table1618[[#This Row],[TOTAL]]</f>
        <v>82</v>
      </c>
      <c r="K16" s="5">
        <f>Table16[[#This Row],[TOTAL]]</f>
        <v>92.5</v>
      </c>
      <c r="L16" s="5">
        <f>Table13[[#This Row],[TOTAL]]</f>
        <v>85</v>
      </c>
      <c r="M16" s="5">
        <v>93.3</v>
      </c>
      <c r="N16" s="5">
        <v>73.5</v>
      </c>
      <c r="O16" s="5">
        <f>ROUND(SUM(DATA[[#This Row],[MATH]:[CA]]),0)</f>
        <v>861</v>
      </c>
      <c r="P16" s="5">
        <f>ROUND(AVERAGE(DATA[[#This Row],[MATH]:[CA]]),0)</f>
        <v>86</v>
      </c>
      <c r="Q16" s="5">
        <v>60</v>
      </c>
      <c r="R16" s="5" t="str">
        <f>IF(DATA[[#This Row],[TOTAL (1000)]]&lt;700,"HELP","")</f>
        <v/>
      </c>
      <c r="S16" s="5" t="str">
        <f>IF(DATA[[#This Row],[TOTAL (1000)]]&gt;=700, "PASS","FAIL")</f>
        <v>PASS</v>
      </c>
    </row>
    <row r="17" spans="1:19" ht="15.75" x14ac:dyDescent="0.25">
      <c r="A17" s="5" t="s">
        <v>193</v>
      </c>
      <c r="B17" s="5">
        <v>1</v>
      </c>
      <c r="C17" s="5" t="s">
        <v>47</v>
      </c>
      <c r="D17" s="5">
        <v>3</v>
      </c>
      <c r="E17" s="5">
        <f>MATH!K18</f>
        <v>82</v>
      </c>
      <c r="F17" s="5">
        <f>Table9[[#This Row],[TOTAL]]</f>
        <v>78</v>
      </c>
      <c r="G17" s="5">
        <f>ROUND(Table10[[#This Row],[TOTAL]],0)</f>
        <v>76</v>
      </c>
      <c r="H17" s="5">
        <f>ROUND(Table11[[#This Row],[TOTAL]],0)</f>
        <v>92</v>
      </c>
      <c r="I17" s="5">
        <f>Table12[[#This Row],[TOTAL]]</f>
        <v>78.2</v>
      </c>
      <c r="J17" s="5">
        <f>Table1618[[#This Row],[TOTAL]]</f>
        <v>60</v>
      </c>
      <c r="K17" s="5">
        <f>Table16[[#This Row],[TOTAL]]</f>
        <v>80.5</v>
      </c>
      <c r="L17" s="5">
        <f>Table13[[#This Row],[TOTAL]]</f>
        <v>81</v>
      </c>
      <c r="M17" s="5">
        <v>82.7</v>
      </c>
      <c r="N17" s="5">
        <v>67.599999999999994</v>
      </c>
      <c r="O17" s="5">
        <f>ROUND(SUM(DATA[[#This Row],[MATH]:[CA]]),0)</f>
        <v>778</v>
      </c>
      <c r="P17" s="5">
        <f>ROUND(AVERAGE(DATA[[#This Row],[MATH]:[CA]]),0)</f>
        <v>78</v>
      </c>
      <c r="Q17" s="5">
        <v>47</v>
      </c>
      <c r="R17" s="5" t="str">
        <f>IF(DATA[[#This Row],[TOTAL (1000)]]&lt;700,"HELP","")</f>
        <v/>
      </c>
      <c r="S17" s="5" t="str">
        <f>IF(DATA[[#This Row],[TOTAL (1000)]]&gt;=700, "PASS","FAIL")</f>
        <v>PASS</v>
      </c>
    </row>
    <row r="18" spans="1:19" ht="15.75" x14ac:dyDescent="0.25">
      <c r="A18" s="5" t="s">
        <v>194</v>
      </c>
      <c r="B18" s="5">
        <v>1</v>
      </c>
      <c r="C18" s="5" t="s">
        <v>47</v>
      </c>
      <c r="D18" s="5">
        <v>3</v>
      </c>
      <c r="E18" s="5">
        <f>MATH!K19</f>
        <v>80</v>
      </c>
      <c r="F18" s="5">
        <f>Table9[[#This Row],[TOTAL]]</f>
        <v>73</v>
      </c>
      <c r="G18" s="5">
        <f>ROUND(Table10[[#This Row],[TOTAL]],0)</f>
        <v>73</v>
      </c>
      <c r="H18" s="5">
        <f>ROUND(Table11[[#This Row],[TOTAL]],0)</f>
        <v>76</v>
      </c>
      <c r="I18" s="5">
        <f>Table12[[#This Row],[TOTAL]]</f>
        <v>74.7</v>
      </c>
      <c r="J18" s="5">
        <f>Table1618[[#This Row],[TOTAL]]</f>
        <v>75</v>
      </c>
      <c r="K18" s="5">
        <f>Table16[[#This Row],[TOTAL]]</f>
        <v>75</v>
      </c>
      <c r="L18" s="5">
        <f>Table13[[#This Row],[TOTAL]]</f>
        <v>87</v>
      </c>
      <c r="M18" s="5">
        <v>76.8</v>
      </c>
      <c r="N18" s="5">
        <v>72.2</v>
      </c>
      <c r="O18" s="5">
        <f>ROUND(SUM(DATA[[#This Row],[MATH]:[CA]]),0)</f>
        <v>763</v>
      </c>
      <c r="P18" s="5">
        <f>ROUND(AVERAGE(DATA[[#This Row],[MATH]:[CA]]),0)</f>
        <v>76</v>
      </c>
      <c r="Q18" s="5">
        <v>45</v>
      </c>
      <c r="R18" s="5" t="str">
        <f>IF(DATA[[#This Row],[TOTAL (1000)]]&lt;700,"HELP","")</f>
        <v/>
      </c>
      <c r="S18" s="5" t="str">
        <f>IF(DATA[[#This Row],[TOTAL (1000)]]&gt;=700, "PASS","FAIL")</f>
        <v>PASS</v>
      </c>
    </row>
    <row r="19" spans="1:19" ht="15.75" x14ac:dyDescent="0.25">
      <c r="A19" s="5" t="s">
        <v>195</v>
      </c>
      <c r="B19" s="5">
        <v>1</v>
      </c>
      <c r="C19" s="5" t="s">
        <v>46</v>
      </c>
      <c r="D19" s="5">
        <v>3</v>
      </c>
      <c r="E19" s="5">
        <f>MATH!K20</f>
        <v>79</v>
      </c>
      <c r="F19" s="5">
        <f>Table9[[#This Row],[TOTAL]]</f>
        <v>90</v>
      </c>
      <c r="G19" s="5">
        <f>ROUND(Table10[[#This Row],[TOTAL]],0)</f>
        <v>80</v>
      </c>
      <c r="H19" s="5">
        <f>ROUND(Table11[[#This Row],[TOTAL]],0)</f>
        <v>80</v>
      </c>
      <c r="I19" s="5">
        <f>Table12[[#This Row],[TOTAL]]</f>
        <v>72.2</v>
      </c>
      <c r="J19" s="5">
        <f>Table1618[[#This Row],[TOTAL]]</f>
        <v>85</v>
      </c>
      <c r="K19" s="5">
        <f>Table16[[#This Row],[TOTAL]]</f>
        <v>93</v>
      </c>
      <c r="L19" s="5">
        <f>Table13[[#This Row],[TOTAL]]</f>
        <v>88</v>
      </c>
      <c r="M19" s="5">
        <v>79.2</v>
      </c>
      <c r="N19" s="5">
        <v>78.400000000000006</v>
      </c>
      <c r="O19" s="5">
        <f>ROUND(SUM(DATA[[#This Row],[MATH]:[CA]]),0)</f>
        <v>825</v>
      </c>
      <c r="P19" s="5">
        <f>ROUND(AVERAGE(DATA[[#This Row],[MATH]:[CA]]),0)</f>
        <v>82</v>
      </c>
      <c r="Q19" s="5">
        <v>48</v>
      </c>
      <c r="R19" s="5" t="str">
        <f>IF(DATA[[#This Row],[TOTAL (1000)]]&lt;700,"HELP","")</f>
        <v/>
      </c>
      <c r="S19" s="5" t="str">
        <f>IF(DATA[[#This Row],[TOTAL (1000)]]&gt;=700, "PASS","FAIL")</f>
        <v>PASS</v>
      </c>
    </row>
    <row r="20" spans="1:19" ht="15.75" x14ac:dyDescent="0.25">
      <c r="A20" s="5" t="s">
        <v>196</v>
      </c>
      <c r="B20" s="5">
        <v>1</v>
      </c>
      <c r="C20" s="5" t="s">
        <v>46</v>
      </c>
      <c r="D20" s="5">
        <v>3</v>
      </c>
      <c r="E20" s="5">
        <f>MATH!K21</f>
        <v>86</v>
      </c>
      <c r="F20" s="5">
        <f>Table9[[#This Row],[TOTAL]]</f>
        <v>93</v>
      </c>
      <c r="G20" s="5">
        <f>ROUND(Table10[[#This Row],[TOTAL]],0)</f>
        <v>87</v>
      </c>
      <c r="H20" s="5">
        <f>ROUND(Table11[[#This Row],[TOTAL]],0)</f>
        <v>84</v>
      </c>
      <c r="I20" s="5">
        <f>Table12[[#This Row],[TOTAL]]</f>
        <v>85</v>
      </c>
      <c r="J20" s="5">
        <f>Table1618[[#This Row],[TOTAL]]</f>
        <v>82</v>
      </c>
      <c r="K20" s="5">
        <f>Table16[[#This Row],[TOTAL]]</f>
        <v>77</v>
      </c>
      <c r="L20" s="5">
        <f>Table13[[#This Row],[TOTAL]]</f>
        <v>90</v>
      </c>
      <c r="M20" s="5">
        <v>85.2</v>
      </c>
      <c r="N20" s="5">
        <v>89.5</v>
      </c>
      <c r="O20" s="5">
        <f>ROUND(SUM(DATA[[#This Row],[MATH]:[CA]]),0)</f>
        <v>859</v>
      </c>
      <c r="P20" s="5">
        <f>ROUND(AVERAGE(DATA[[#This Row],[MATH]:[CA]]),0)</f>
        <v>86</v>
      </c>
      <c r="Q20" s="5">
        <v>56</v>
      </c>
      <c r="R20" s="5" t="str">
        <f>IF(DATA[[#This Row],[TOTAL (1000)]]&lt;700,"HELP","")</f>
        <v/>
      </c>
      <c r="S20" s="5" t="str">
        <f>IF(DATA[[#This Row],[TOTAL (1000)]]&gt;=700, "PASS","FAIL")</f>
        <v>PASS</v>
      </c>
    </row>
    <row r="21" spans="1:19" ht="15.75" x14ac:dyDescent="0.25">
      <c r="A21" s="5" t="s">
        <v>197</v>
      </c>
      <c r="B21" s="5">
        <v>1</v>
      </c>
      <c r="C21" s="5" t="s">
        <v>46</v>
      </c>
      <c r="D21" s="5">
        <v>3</v>
      </c>
      <c r="E21" s="5">
        <f>MATH!K22</f>
        <v>97</v>
      </c>
      <c r="F21" s="5">
        <f>Table9[[#This Row],[TOTAL]]</f>
        <v>97</v>
      </c>
      <c r="G21" s="5">
        <f>ROUND(Table10[[#This Row],[TOTAL]],0)</f>
        <v>92</v>
      </c>
      <c r="H21" s="5">
        <f>ROUND(Table11[[#This Row],[TOTAL]],0)</f>
        <v>96</v>
      </c>
      <c r="I21" s="5">
        <f>Table12[[#This Row],[TOTAL]]</f>
        <v>89.7</v>
      </c>
      <c r="J21" s="5">
        <f>Table1618[[#This Row],[TOTAL]]</f>
        <v>84</v>
      </c>
      <c r="K21" s="5">
        <f>Table16[[#This Row],[TOTAL]]</f>
        <v>96.7</v>
      </c>
      <c r="L21" s="5">
        <f>Table13[[#This Row],[TOTAL]]</f>
        <v>91</v>
      </c>
      <c r="M21" s="5">
        <v>98.2</v>
      </c>
      <c r="N21" s="5">
        <v>88.3</v>
      </c>
      <c r="O21" s="5">
        <f>ROUND(SUM(DATA[[#This Row],[MATH]:[CA]]),0)</f>
        <v>930</v>
      </c>
      <c r="P21" s="5">
        <f>ROUND(AVERAGE(DATA[[#This Row],[MATH]:[CA]]),0)</f>
        <v>93</v>
      </c>
      <c r="Q21" s="5">
        <v>60</v>
      </c>
      <c r="R21" s="5" t="str">
        <f>IF(DATA[[#This Row],[TOTAL (1000)]]&lt;700,"HELP","")</f>
        <v/>
      </c>
      <c r="S21" s="5" t="str">
        <f>IF(DATA[[#This Row],[TOTAL (1000)]]&gt;=700, "PASS","FAIL")</f>
        <v>PASS</v>
      </c>
    </row>
    <row r="22" spans="1:19" ht="15.75" x14ac:dyDescent="0.25">
      <c r="A22" s="5" t="s">
        <v>198</v>
      </c>
      <c r="B22" s="5">
        <v>1</v>
      </c>
      <c r="C22" s="5" t="s">
        <v>46</v>
      </c>
      <c r="D22" s="5">
        <v>3</v>
      </c>
      <c r="E22" s="5">
        <f>MATH!K23</f>
        <v>85</v>
      </c>
      <c r="F22" s="5">
        <f>Table9[[#This Row],[TOTAL]]</f>
        <v>81</v>
      </c>
      <c r="G22" s="5">
        <f>ROUND(Table10[[#This Row],[TOTAL]],0)</f>
        <v>78</v>
      </c>
      <c r="H22" s="5">
        <f>ROUND(Table11[[#This Row],[TOTAL]],0)</f>
        <v>60</v>
      </c>
      <c r="I22" s="5">
        <f>Table12[[#This Row],[TOTAL]]</f>
        <v>68.8</v>
      </c>
      <c r="J22" s="5">
        <f>Table1618[[#This Row],[TOTAL]]</f>
        <v>75</v>
      </c>
      <c r="K22" s="5">
        <f>Table16[[#This Row],[TOTAL]]</f>
        <v>82.5</v>
      </c>
      <c r="L22" s="5">
        <f>Table13[[#This Row],[TOTAL]]</f>
        <v>79</v>
      </c>
      <c r="M22" s="5">
        <v>77.599999999999994</v>
      </c>
      <c r="N22" s="5">
        <v>80</v>
      </c>
      <c r="O22" s="5">
        <f>ROUND(SUM(DATA[[#This Row],[MATH]:[CA]]),0)</f>
        <v>767</v>
      </c>
      <c r="P22" s="5">
        <f>ROUND(AVERAGE(DATA[[#This Row],[MATH]:[CA]]),0)</f>
        <v>77</v>
      </c>
      <c r="Q22" s="5">
        <v>58</v>
      </c>
      <c r="R22" s="5" t="str">
        <f>IF(DATA[[#This Row],[TOTAL (1000)]]&lt;700,"HELP","")</f>
        <v/>
      </c>
      <c r="S22" s="5" t="str">
        <f>IF(DATA[[#This Row],[TOTAL (1000)]]&gt;=700, "PASS","FAIL")</f>
        <v>PASS</v>
      </c>
    </row>
    <row r="23" spans="1:19" ht="15.75" x14ac:dyDescent="0.25">
      <c r="A23" s="5" t="s">
        <v>199</v>
      </c>
      <c r="B23" s="5">
        <v>1</v>
      </c>
      <c r="C23" s="5" t="s">
        <v>46</v>
      </c>
      <c r="D23" s="5">
        <v>3</v>
      </c>
      <c r="E23" s="5">
        <f>MATH!K24</f>
        <v>78</v>
      </c>
      <c r="F23" s="5">
        <f>Table9[[#This Row],[TOTAL]]</f>
        <v>72</v>
      </c>
      <c r="G23" s="5">
        <f>ROUND(Table10[[#This Row],[TOTAL]],0)</f>
        <v>68</v>
      </c>
      <c r="H23" s="5">
        <f>ROUND(Table11[[#This Row],[TOTAL]],0)</f>
        <v>70</v>
      </c>
      <c r="I23" s="5">
        <f>Table12[[#This Row],[TOTAL]]</f>
        <v>65.2</v>
      </c>
      <c r="J23" s="5">
        <f>Table1618[[#This Row],[TOTAL]]</f>
        <v>70</v>
      </c>
      <c r="K23" s="5">
        <f>Table16[[#This Row],[TOTAL]]</f>
        <v>93</v>
      </c>
      <c r="L23" s="5">
        <f>Table13[[#This Row],[TOTAL]]</f>
        <v>79</v>
      </c>
      <c r="M23" s="5">
        <v>78.5</v>
      </c>
      <c r="N23" s="5">
        <v>59.5</v>
      </c>
      <c r="O23" s="5">
        <f>ROUND(SUM(DATA[[#This Row],[MATH]:[CA]]),0)</f>
        <v>733</v>
      </c>
      <c r="P23" s="5">
        <f>ROUND(AVERAGE(DATA[[#This Row],[MATH]:[CA]]),0)</f>
        <v>73</v>
      </c>
      <c r="Q23" s="5">
        <v>59</v>
      </c>
      <c r="R23" s="5" t="str">
        <f>IF(DATA[[#This Row],[TOTAL (1000)]]&lt;700,"HELP","")</f>
        <v/>
      </c>
      <c r="S23" s="5" t="str">
        <f>IF(DATA[[#This Row],[TOTAL (1000)]]&gt;=700, "PASS","FAIL")</f>
        <v>PASS</v>
      </c>
    </row>
    <row r="24" spans="1:19" ht="15.75" x14ac:dyDescent="0.25">
      <c r="A24" s="5" t="s">
        <v>200</v>
      </c>
      <c r="B24" s="5">
        <v>1</v>
      </c>
      <c r="C24" s="5" t="s">
        <v>46</v>
      </c>
      <c r="D24" s="5">
        <v>3</v>
      </c>
      <c r="E24" s="5">
        <f>MATH!K25</f>
        <v>93</v>
      </c>
      <c r="F24" s="5">
        <f>Table9[[#This Row],[TOTAL]]</f>
        <v>94</v>
      </c>
      <c r="G24" s="5">
        <f>ROUND(Table10[[#This Row],[TOTAL]],0)</f>
        <v>91</v>
      </c>
      <c r="H24" s="5">
        <f>ROUND(Table11[[#This Row],[TOTAL]],0)</f>
        <v>97</v>
      </c>
      <c r="I24" s="5">
        <f>Table12[[#This Row],[TOTAL]]</f>
        <v>90.9</v>
      </c>
      <c r="J24" s="5">
        <f>Table1618[[#This Row],[TOTAL]]</f>
        <v>93</v>
      </c>
      <c r="K24" s="5">
        <f>Table16[[#This Row],[TOTAL]]</f>
        <v>100</v>
      </c>
      <c r="L24" s="5">
        <f>Table13[[#This Row],[TOTAL]]</f>
        <v>98</v>
      </c>
      <c r="M24" s="5">
        <v>63.1</v>
      </c>
      <c r="N24" s="5">
        <v>55</v>
      </c>
      <c r="O24" s="5">
        <f>ROUND(SUM(DATA[[#This Row],[MATH]:[CA]]),0)</f>
        <v>875</v>
      </c>
      <c r="P24" s="5">
        <f>ROUND(AVERAGE(DATA[[#This Row],[MATH]:[CA]]),0)</f>
        <v>88</v>
      </c>
      <c r="Q24" s="5">
        <v>57</v>
      </c>
      <c r="R24" s="5" t="str">
        <f>IF(DATA[[#This Row],[TOTAL (1000)]]&lt;700,"HELP","")</f>
        <v/>
      </c>
      <c r="S24" s="5" t="str">
        <f>IF(DATA[[#This Row],[TOTAL (1000)]]&gt;=700, "PASS","FAIL")</f>
        <v>PASS</v>
      </c>
    </row>
    <row r="25" spans="1:19" ht="15.75" x14ac:dyDescent="0.25">
      <c r="A25" s="5" t="s">
        <v>201</v>
      </c>
      <c r="B25" s="5">
        <v>1</v>
      </c>
      <c r="C25" s="5" t="s">
        <v>47</v>
      </c>
      <c r="D25" s="5">
        <v>3</v>
      </c>
      <c r="E25" s="5">
        <f>MATH!K26</f>
        <v>84</v>
      </c>
      <c r="F25" s="5">
        <f>Table9[[#This Row],[TOTAL]]</f>
        <v>83</v>
      </c>
      <c r="G25" s="5">
        <f>ROUND(Table10[[#This Row],[TOTAL]],0)</f>
        <v>75</v>
      </c>
      <c r="H25" s="5">
        <f>ROUND(Table11[[#This Row],[TOTAL]],0)</f>
        <v>81</v>
      </c>
      <c r="I25" s="5">
        <f>Table12[[#This Row],[TOTAL]]</f>
        <v>84</v>
      </c>
      <c r="J25" s="5">
        <f>Table1618[[#This Row],[TOTAL]]</f>
        <v>72</v>
      </c>
      <c r="K25" s="5">
        <f>Table16[[#This Row],[TOTAL]]</f>
        <v>67</v>
      </c>
      <c r="L25" s="5">
        <f>Table13[[#This Row],[TOTAL]]</f>
        <v>84</v>
      </c>
      <c r="M25" s="5">
        <v>87</v>
      </c>
      <c r="N25" s="5">
        <v>76.2</v>
      </c>
      <c r="O25" s="5">
        <f>ROUND(SUM(DATA[[#This Row],[MATH]:[CA]]),0)</f>
        <v>793</v>
      </c>
      <c r="P25" s="5">
        <f>ROUND(AVERAGE(DATA[[#This Row],[MATH]:[CA]]),0)</f>
        <v>79</v>
      </c>
      <c r="Q25" s="5">
        <v>52</v>
      </c>
      <c r="R25" s="5" t="str">
        <f>IF(DATA[[#This Row],[TOTAL (1000)]]&lt;700,"HELP","")</f>
        <v/>
      </c>
      <c r="S25" s="5" t="str">
        <f>IF(DATA[[#This Row],[TOTAL (1000)]]&gt;=700, "PASS","FAIL")</f>
        <v>PASS</v>
      </c>
    </row>
    <row r="26" spans="1:19" ht="15.75" x14ac:dyDescent="0.25">
      <c r="A26" s="5" t="s">
        <v>202</v>
      </c>
      <c r="B26" s="5">
        <v>1</v>
      </c>
      <c r="C26" s="5" t="s">
        <v>47</v>
      </c>
      <c r="D26" s="5">
        <v>3</v>
      </c>
      <c r="E26" s="5">
        <f>MATH!K27</f>
        <v>95</v>
      </c>
      <c r="F26" s="5">
        <f>Table9[[#This Row],[TOTAL]]</f>
        <v>92</v>
      </c>
      <c r="G26" s="5">
        <f>ROUND(Table10[[#This Row],[TOTAL]],0)</f>
        <v>91</v>
      </c>
      <c r="H26" s="5">
        <f>ROUND(Table11[[#This Row],[TOTAL]],0)</f>
        <v>94</v>
      </c>
      <c r="I26" s="5">
        <f>Table12[[#This Row],[TOTAL]]</f>
        <v>94.6</v>
      </c>
      <c r="J26" s="5">
        <f>Table1618[[#This Row],[TOTAL]]</f>
        <v>88</v>
      </c>
      <c r="K26" s="5">
        <f>Table16[[#This Row],[TOTAL]]</f>
        <v>99</v>
      </c>
      <c r="L26" s="5">
        <f>Table13[[#This Row],[TOTAL]]</f>
        <v>94</v>
      </c>
      <c r="M26" s="5">
        <v>95.2</v>
      </c>
      <c r="N26" s="5">
        <v>99</v>
      </c>
      <c r="O26" s="5">
        <f>ROUND(SUM(DATA[[#This Row],[MATH]:[CA]]),0)</f>
        <v>942</v>
      </c>
      <c r="P26" s="5">
        <f>ROUND(AVERAGE(DATA[[#This Row],[MATH]:[CA]]),0)</f>
        <v>94</v>
      </c>
      <c r="Q26" s="5">
        <v>51</v>
      </c>
      <c r="R26" s="5" t="str">
        <f>IF(DATA[[#This Row],[TOTAL (1000)]]&lt;700,"HELP","")</f>
        <v/>
      </c>
      <c r="S26" s="5" t="str">
        <f>IF(DATA[[#This Row],[TOTAL (1000)]]&gt;=700, "PASS","FAIL")</f>
        <v>PASS</v>
      </c>
    </row>
    <row r="27" spans="1:19" ht="15.75" x14ac:dyDescent="0.25">
      <c r="A27" s="5" t="s">
        <v>203</v>
      </c>
      <c r="B27" s="5">
        <v>1</v>
      </c>
      <c r="C27" s="5" t="s">
        <v>46</v>
      </c>
      <c r="D27" s="5">
        <v>3</v>
      </c>
      <c r="E27" s="5">
        <f>MATH!K28</f>
        <v>88</v>
      </c>
      <c r="F27" s="5">
        <f>Table9[[#This Row],[TOTAL]]</f>
        <v>93</v>
      </c>
      <c r="G27" s="5">
        <f>ROUND(Table10[[#This Row],[TOTAL]],0)</f>
        <v>81</v>
      </c>
      <c r="H27" s="5">
        <f>ROUND(Table11[[#This Row],[TOTAL]],0)</f>
        <v>80</v>
      </c>
      <c r="I27" s="5">
        <f>Table12[[#This Row],[TOTAL]]</f>
        <v>81.5</v>
      </c>
      <c r="J27" s="5">
        <f>Table1618[[#This Row],[TOTAL]]</f>
        <v>88</v>
      </c>
      <c r="K27" s="5">
        <f>Table16[[#This Row],[TOTAL]]</f>
        <v>87.7</v>
      </c>
      <c r="L27" s="5">
        <f>Table13[[#This Row],[TOTAL]]</f>
        <v>86</v>
      </c>
      <c r="M27" s="5">
        <v>87</v>
      </c>
      <c r="N27" s="5">
        <v>75.599999999999994</v>
      </c>
      <c r="O27" s="5">
        <f>ROUND(SUM(DATA[[#This Row],[MATH]:[CA]]),0)</f>
        <v>848</v>
      </c>
      <c r="P27" s="5">
        <f>ROUND(AVERAGE(DATA[[#This Row],[MATH]:[CA]]),0)</f>
        <v>85</v>
      </c>
      <c r="Q27" s="5">
        <v>54</v>
      </c>
      <c r="R27" s="5" t="str">
        <f>IF(DATA[[#This Row],[TOTAL (1000)]]&lt;700,"HELP","")</f>
        <v/>
      </c>
      <c r="S27" s="5" t="str">
        <f>IF(DATA[[#This Row],[TOTAL (1000)]]&gt;=700, "PASS","FAIL")</f>
        <v>PASS</v>
      </c>
    </row>
    <row r="28" spans="1:19" ht="15.75" x14ac:dyDescent="0.25">
      <c r="A28" s="5" t="s">
        <v>204</v>
      </c>
      <c r="B28" s="5">
        <v>1</v>
      </c>
      <c r="C28" s="5" t="s">
        <v>47</v>
      </c>
      <c r="D28" s="5">
        <v>3</v>
      </c>
      <c r="E28" s="5">
        <f>MATH!K29</f>
        <v>92</v>
      </c>
      <c r="F28" s="5">
        <f>Table9[[#This Row],[TOTAL]]</f>
        <v>90</v>
      </c>
      <c r="G28" s="5">
        <f>ROUND(Table10[[#This Row],[TOTAL]],0)</f>
        <v>86</v>
      </c>
      <c r="H28" s="5">
        <f>ROUND(Table11[[#This Row],[TOTAL]],0)</f>
        <v>76</v>
      </c>
      <c r="I28" s="5">
        <f>Table12[[#This Row],[TOTAL]]</f>
        <v>69.900000000000006</v>
      </c>
      <c r="J28" s="5">
        <f>Table1618[[#This Row],[TOTAL]]</f>
        <v>84</v>
      </c>
      <c r="K28" s="5">
        <f>Table16[[#This Row],[TOTAL]]</f>
        <v>77</v>
      </c>
      <c r="L28" s="5">
        <f>Table13[[#This Row],[TOTAL]]</f>
        <v>80</v>
      </c>
      <c r="M28" s="5">
        <v>78.8</v>
      </c>
      <c r="N28" s="5">
        <v>70.900000000000006</v>
      </c>
      <c r="O28" s="5">
        <f>ROUND(SUM(DATA[[#This Row],[MATH]:[CA]]),0)</f>
        <v>805</v>
      </c>
      <c r="P28" s="5">
        <f>ROUND(AVERAGE(DATA[[#This Row],[MATH]:[CA]]),0)</f>
        <v>80</v>
      </c>
      <c r="Q28" s="5">
        <v>49</v>
      </c>
      <c r="R28" s="5" t="str">
        <f>IF(DATA[[#This Row],[TOTAL (1000)]]&lt;700,"HELP","")</f>
        <v/>
      </c>
      <c r="S28" s="5" t="str">
        <f>IF(DATA[[#This Row],[TOTAL (1000)]]&gt;=700, "PASS","FAIL")</f>
        <v>PASS</v>
      </c>
    </row>
    <row r="29" spans="1:19" ht="15.75" x14ac:dyDescent="0.25">
      <c r="A29" s="5" t="s">
        <v>205</v>
      </c>
      <c r="B29" s="5">
        <v>1</v>
      </c>
      <c r="C29" s="5" t="s">
        <v>46</v>
      </c>
      <c r="D29" s="5">
        <v>3</v>
      </c>
      <c r="E29" s="5">
        <f>MATH!K30</f>
        <v>84</v>
      </c>
      <c r="F29" s="5">
        <f>Table9[[#This Row],[TOTAL]]</f>
        <v>83</v>
      </c>
      <c r="G29" s="5">
        <f>ROUND(Table10[[#This Row],[TOTAL]],0)</f>
        <v>76</v>
      </c>
      <c r="H29" s="5">
        <f>ROUND(Table11[[#This Row],[TOTAL]],0)</f>
        <v>81</v>
      </c>
      <c r="I29" s="5">
        <f>Table12[[#This Row],[TOTAL]]</f>
        <v>85.4</v>
      </c>
      <c r="J29" s="5">
        <f>Table1618[[#This Row],[TOTAL]]</f>
        <v>74</v>
      </c>
      <c r="K29" s="5">
        <f>Table16[[#This Row],[TOTAL]]</f>
        <v>93</v>
      </c>
      <c r="L29" s="5">
        <f>Table13[[#This Row],[TOTAL]]</f>
        <v>77</v>
      </c>
      <c r="M29" s="5">
        <v>85.2</v>
      </c>
      <c r="N29" s="5">
        <v>68.8</v>
      </c>
      <c r="O29" s="5">
        <f>ROUND(SUM(DATA[[#This Row],[MATH]:[CA]]),0)</f>
        <v>807</v>
      </c>
      <c r="P29" s="5">
        <f>ROUND(AVERAGE(DATA[[#This Row],[MATH]:[CA]]),0)</f>
        <v>81</v>
      </c>
      <c r="Q29" s="5">
        <v>45</v>
      </c>
      <c r="R29" s="5" t="str">
        <f>IF(DATA[[#This Row],[TOTAL (1000)]]&lt;700,"HELP","")</f>
        <v/>
      </c>
      <c r="S29" s="5" t="str">
        <f>IF(DATA[[#This Row],[TOTAL (1000)]]&gt;=700, "PASS","FAIL")</f>
        <v>PASS</v>
      </c>
    </row>
    <row r="30" spans="1:19" ht="15.75" x14ac:dyDescent="0.25">
      <c r="A30" s="5" t="s">
        <v>206</v>
      </c>
      <c r="B30" s="5">
        <v>1</v>
      </c>
      <c r="C30" s="5" t="s">
        <v>47</v>
      </c>
      <c r="D30" s="5">
        <v>1</v>
      </c>
      <c r="E30" s="5">
        <f>MATH!K31</f>
        <v>79</v>
      </c>
      <c r="F30" s="5">
        <f>Table9[[#This Row],[TOTAL]]</f>
        <v>78</v>
      </c>
      <c r="G30" s="5">
        <f>ROUND(Table10[[#This Row],[TOTAL]],0)</f>
        <v>82</v>
      </c>
      <c r="H30" s="5">
        <f ca="1">ROUND(Table11[[#This Row],[TOTAL]],0)</f>
        <v>88</v>
      </c>
      <c r="I30" s="5">
        <f ca="1">Table12[[#This Row],[TOTAL]]</f>
        <v>72.300000000000011</v>
      </c>
      <c r="J30" s="5">
        <f>Table1618[[#This Row],[TOTAL]]</f>
        <v>84</v>
      </c>
      <c r="K30" s="5">
        <f>Table16[[#This Row],[TOTAL]]</f>
        <v>55</v>
      </c>
      <c r="L30" s="5">
        <f ca="1">Table13[[#This Row],[TOTAL]]</f>
        <v>79</v>
      </c>
      <c r="M30" s="5">
        <v>10</v>
      </c>
      <c r="N30" s="5">
        <v>95.7</v>
      </c>
      <c r="O30" s="5">
        <f ca="1">ROUND(SUM(DATA[[#This Row],[MATH]:[CA]]),0)</f>
        <v>723</v>
      </c>
      <c r="P30" s="5">
        <f ca="1">ROUND(AVERAGE(DATA[[#This Row],[MATH]:[CA]]),0)</f>
        <v>72</v>
      </c>
      <c r="Q30" s="5">
        <v>58</v>
      </c>
      <c r="R30" s="5" t="str">
        <f ca="1">IF(DATA[[#This Row],[TOTAL (1000)]]&lt;700,"HELP","")</f>
        <v/>
      </c>
      <c r="S30" s="5" t="str">
        <f ca="1">IF(DATA[[#This Row],[TOTAL (1000)]]&gt;=700, "PASS","FAIL")</f>
        <v>PASS</v>
      </c>
    </row>
    <row r="31" spans="1:19" ht="15.75" x14ac:dyDescent="0.25">
      <c r="A31" s="5" t="s">
        <v>207</v>
      </c>
      <c r="B31" s="5">
        <v>1</v>
      </c>
      <c r="C31" s="5" t="s">
        <v>47</v>
      </c>
      <c r="D31" s="5">
        <v>1</v>
      </c>
      <c r="E31" s="5">
        <f>MATH!K32</f>
        <v>74</v>
      </c>
      <c r="F31" s="5">
        <f>Table9[[#This Row],[TOTAL]]</f>
        <v>83</v>
      </c>
      <c r="G31" s="5">
        <f>ROUND(Table10[[#This Row],[TOTAL]],0)</f>
        <v>75</v>
      </c>
      <c r="H31" s="5">
        <f ca="1">ROUND(Table11[[#This Row],[TOTAL]],0)</f>
        <v>70</v>
      </c>
      <c r="I31" s="5">
        <f ca="1">Table12[[#This Row],[TOTAL]]</f>
        <v>85.5</v>
      </c>
      <c r="J31" s="5">
        <f>Table1618[[#This Row],[TOTAL]]</f>
        <v>68</v>
      </c>
      <c r="K31" s="5">
        <f>Table16[[#This Row],[TOTAL]]</f>
        <v>83</v>
      </c>
      <c r="L31" s="5">
        <f ca="1">Table13[[#This Row],[TOTAL]]</f>
        <v>71</v>
      </c>
      <c r="M31" s="5">
        <v>66.599999999999994</v>
      </c>
      <c r="N31" s="5">
        <v>82.2</v>
      </c>
      <c r="O31" s="5">
        <f ca="1">ROUND(SUM(DATA[[#This Row],[MATH]:[CA]]),0)</f>
        <v>758</v>
      </c>
      <c r="P31" s="5">
        <f ca="1">ROUND(AVERAGE(DATA[[#This Row],[MATH]:[CA]]),0)</f>
        <v>76</v>
      </c>
      <c r="Q31" s="5">
        <v>60</v>
      </c>
      <c r="R31" s="5" t="str">
        <f ca="1">IF(DATA[[#This Row],[TOTAL (1000)]]&lt;700,"HELP","")</f>
        <v/>
      </c>
      <c r="S31" s="5" t="str">
        <f ca="1">IF(DATA[[#This Row],[TOTAL (1000)]]&gt;=700, "PASS","FAIL")</f>
        <v>PASS</v>
      </c>
    </row>
    <row r="32" spans="1:19" ht="15.75" x14ac:dyDescent="0.25">
      <c r="A32" s="5" t="s">
        <v>208</v>
      </c>
      <c r="B32" s="5">
        <v>1</v>
      </c>
      <c r="C32" s="5" t="s">
        <v>46</v>
      </c>
      <c r="D32" s="5">
        <v>1</v>
      </c>
      <c r="E32" s="5">
        <f>MATH!K33</f>
        <v>74</v>
      </c>
      <c r="F32" s="5">
        <f>Table9[[#This Row],[TOTAL]]</f>
        <v>80</v>
      </c>
      <c r="G32" s="5">
        <f>ROUND(Table10[[#This Row],[TOTAL]],0)</f>
        <v>81</v>
      </c>
      <c r="H32" s="5">
        <f ca="1">ROUND(Table11[[#This Row],[TOTAL]],0)</f>
        <v>82</v>
      </c>
      <c r="I32" s="5">
        <f ca="1">Table12[[#This Row],[TOTAL]]</f>
        <v>79.8</v>
      </c>
      <c r="J32" s="5">
        <f>Table1618[[#This Row],[TOTAL]]</f>
        <v>83</v>
      </c>
      <c r="K32" s="5">
        <f>Table16[[#This Row],[TOTAL]]</f>
        <v>79.5</v>
      </c>
      <c r="L32" s="5">
        <f ca="1">Table13[[#This Row],[TOTAL]]</f>
        <v>72</v>
      </c>
      <c r="M32" s="5">
        <v>62.4</v>
      </c>
      <c r="N32" s="5">
        <v>97.3</v>
      </c>
      <c r="O32" s="5">
        <f ca="1">ROUND(SUM(DATA[[#This Row],[MATH]:[CA]]),0)</f>
        <v>791</v>
      </c>
      <c r="P32" s="5">
        <f ca="1">ROUND(AVERAGE(DATA[[#This Row],[MATH]:[CA]]),0)</f>
        <v>79</v>
      </c>
      <c r="Q32" s="5">
        <v>58</v>
      </c>
      <c r="R32" s="5" t="str">
        <f ca="1">IF(DATA[[#This Row],[TOTAL (1000)]]&lt;700,"HELP","")</f>
        <v/>
      </c>
      <c r="S32" s="5" t="str">
        <f ca="1">IF(DATA[[#This Row],[TOTAL (1000)]]&gt;=700, "PASS","FAIL")</f>
        <v>PASS</v>
      </c>
    </row>
    <row r="33" spans="1:19" ht="15.75" x14ac:dyDescent="0.25">
      <c r="A33" s="5" t="s">
        <v>209</v>
      </c>
      <c r="B33" s="5">
        <v>1</v>
      </c>
      <c r="C33" s="5" t="s">
        <v>47</v>
      </c>
      <c r="D33" s="5">
        <v>1</v>
      </c>
      <c r="E33" s="5">
        <f>MATH!K34</f>
        <v>89</v>
      </c>
      <c r="F33" s="5">
        <f>Table9[[#This Row],[TOTAL]]</f>
        <v>93</v>
      </c>
      <c r="G33" s="5">
        <f>ROUND(Table10[[#This Row],[TOTAL]],0)</f>
        <v>93</v>
      </c>
      <c r="H33" s="5">
        <f ca="1">ROUND(Table11[[#This Row],[TOTAL]],0)</f>
        <v>73</v>
      </c>
      <c r="I33" s="5">
        <f>Table12[[#This Row],[TOTAL]]</f>
        <v>96.1</v>
      </c>
      <c r="J33" s="5">
        <f>Table1618[[#This Row],[TOTAL]]</f>
        <v>76</v>
      </c>
      <c r="K33" s="5">
        <f>Table16[[#This Row],[TOTAL]]</f>
        <v>90</v>
      </c>
      <c r="L33" s="5">
        <f ca="1">Table13[[#This Row],[TOTAL]]</f>
        <v>78</v>
      </c>
      <c r="M33" s="5">
        <v>72.8</v>
      </c>
      <c r="N33" s="5">
        <v>95.3</v>
      </c>
      <c r="O33" s="5">
        <f ca="1">ROUND(SUM(DATA[[#This Row],[MATH]:[CA]]),0)</f>
        <v>856</v>
      </c>
      <c r="P33" s="5">
        <f ca="1">ROUND(AVERAGE(DATA[[#This Row],[MATH]:[CA]]),0)</f>
        <v>86</v>
      </c>
      <c r="Q33" s="5">
        <v>57</v>
      </c>
      <c r="R33" s="5" t="str">
        <f ca="1">IF(DATA[[#This Row],[TOTAL (1000)]]&lt;700,"HELP","")</f>
        <v/>
      </c>
      <c r="S33" s="5" t="str">
        <f ca="1">IF(DATA[[#This Row],[TOTAL (1000)]]&gt;=700, "PASS","FAIL")</f>
        <v>PASS</v>
      </c>
    </row>
    <row r="34" spans="1:19" ht="15.75" x14ac:dyDescent="0.25">
      <c r="A34" s="5" t="s">
        <v>210</v>
      </c>
      <c r="B34" s="5">
        <v>1</v>
      </c>
      <c r="C34" s="5" t="s">
        <v>46</v>
      </c>
      <c r="D34" s="5">
        <v>1</v>
      </c>
      <c r="E34" s="5">
        <f>MATH!K35</f>
        <v>85</v>
      </c>
      <c r="F34" s="5">
        <f>Table9[[#This Row],[TOTAL]]</f>
        <v>88</v>
      </c>
      <c r="G34" s="5">
        <f>ROUND(Table10[[#This Row],[TOTAL]],0)</f>
        <v>92</v>
      </c>
      <c r="H34" s="5">
        <f ca="1">ROUND(Table11[[#This Row],[TOTAL]],0)</f>
        <v>88</v>
      </c>
      <c r="I34" s="5">
        <f>Table12[[#This Row],[TOTAL]]</f>
        <v>93.6</v>
      </c>
      <c r="J34" s="5">
        <f>Table1618[[#This Row],[TOTAL]]</f>
        <v>80</v>
      </c>
      <c r="K34" s="5">
        <f>Table16[[#This Row],[TOTAL]]</f>
        <v>90</v>
      </c>
      <c r="L34" s="5">
        <f ca="1">Table13[[#This Row],[TOTAL]]</f>
        <v>89</v>
      </c>
      <c r="M34" s="5">
        <v>70.2</v>
      </c>
      <c r="N34" s="5">
        <v>95.7</v>
      </c>
      <c r="O34" s="5">
        <f ca="1">ROUND(SUM(DATA[[#This Row],[MATH]:[CA]]),0)</f>
        <v>872</v>
      </c>
      <c r="P34" s="5">
        <f ca="1">ROUND(AVERAGE(DATA[[#This Row],[MATH]:[CA]]),0)</f>
        <v>87</v>
      </c>
      <c r="Q34" s="5">
        <v>41</v>
      </c>
      <c r="R34" s="5" t="str">
        <f ca="1">IF(DATA[[#This Row],[TOTAL (1000)]]&lt;700,"HELP","")</f>
        <v/>
      </c>
      <c r="S34" s="5" t="str">
        <f ca="1">IF(DATA[[#This Row],[TOTAL (1000)]]&gt;=700, "PASS","FAIL")</f>
        <v>PASS</v>
      </c>
    </row>
    <row r="35" spans="1:19" ht="15.75" x14ac:dyDescent="0.25">
      <c r="A35" s="5" t="s">
        <v>211</v>
      </c>
      <c r="B35" s="5">
        <v>1</v>
      </c>
      <c r="C35" s="5" t="s">
        <v>47</v>
      </c>
      <c r="D35" s="5">
        <v>1</v>
      </c>
      <c r="E35" s="5">
        <f>MATH!K36</f>
        <v>86</v>
      </c>
      <c r="F35" s="5">
        <f>Table9[[#This Row],[TOTAL]]</f>
        <v>88</v>
      </c>
      <c r="G35" s="5">
        <f>ROUND(Table10[[#This Row],[TOTAL]],0)</f>
        <v>82</v>
      </c>
      <c r="H35" s="5">
        <f ca="1">ROUND(Table11[[#This Row],[TOTAL]],0)</f>
        <v>73</v>
      </c>
      <c r="I35" s="5">
        <f>Table12[[#This Row],[TOTAL]]</f>
        <v>92</v>
      </c>
      <c r="J35" s="5">
        <f>Table1618[[#This Row],[TOTAL]]</f>
        <v>75</v>
      </c>
      <c r="K35" s="5">
        <f>Table16[[#This Row],[TOTAL]]</f>
        <v>94</v>
      </c>
      <c r="L35" s="5">
        <f ca="1">Table13[[#This Row],[TOTAL]]</f>
        <v>87</v>
      </c>
      <c r="M35" s="5">
        <v>65.2</v>
      </c>
      <c r="N35" s="5">
        <v>94.4</v>
      </c>
      <c r="O35" s="5">
        <f ca="1">ROUND(SUM(DATA[[#This Row],[MATH]:[CA]]),0)</f>
        <v>837</v>
      </c>
      <c r="P35" s="5">
        <f ca="1">ROUND(AVERAGE(DATA[[#This Row],[MATH]:[CA]]),0)</f>
        <v>84</v>
      </c>
      <c r="Q35" s="5">
        <v>60</v>
      </c>
      <c r="R35" s="5" t="str">
        <f ca="1">IF(DATA[[#This Row],[TOTAL (1000)]]&lt;700,"HELP","")</f>
        <v/>
      </c>
      <c r="S35" s="5" t="str">
        <f ca="1">IF(DATA[[#This Row],[TOTAL (1000)]]&gt;=700, "PASS","FAIL")</f>
        <v>PASS</v>
      </c>
    </row>
    <row r="36" spans="1:19" ht="15.75" x14ac:dyDescent="0.25">
      <c r="A36" s="5" t="s">
        <v>212</v>
      </c>
      <c r="B36" s="5">
        <v>1</v>
      </c>
      <c r="C36" s="5" t="s">
        <v>46</v>
      </c>
      <c r="D36" s="5">
        <v>1</v>
      </c>
      <c r="E36" s="5">
        <f>MATH!K37</f>
        <v>96</v>
      </c>
      <c r="F36" s="5">
        <f>Table9[[#This Row],[TOTAL]]</f>
        <v>98</v>
      </c>
      <c r="G36" s="5">
        <f>ROUND(Table10[[#This Row],[TOTAL]],0)</f>
        <v>97</v>
      </c>
      <c r="H36" s="5">
        <f ca="1">ROUND(Table11[[#This Row],[TOTAL]],0)</f>
        <v>80</v>
      </c>
      <c r="I36" s="5">
        <f>Table12[[#This Row],[TOTAL]]</f>
        <v>97.1</v>
      </c>
      <c r="J36" s="5">
        <f>Table1618[[#This Row],[TOTAL]]</f>
        <v>87</v>
      </c>
      <c r="K36" s="5">
        <f>Table16[[#This Row],[TOTAL]]</f>
        <v>97.5</v>
      </c>
      <c r="L36" s="5">
        <f ca="1">Table13[[#This Row],[TOTAL]]</f>
        <v>76</v>
      </c>
      <c r="M36" s="5">
        <v>83.6</v>
      </c>
      <c r="N36" s="5">
        <v>97</v>
      </c>
      <c r="O36" s="5">
        <f ca="1">ROUND(SUM(DATA[[#This Row],[MATH]:[CA]]),0)</f>
        <v>909</v>
      </c>
      <c r="P36" s="5">
        <f ca="1">ROUND(AVERAGE(DATA[[#This Row],[MATH]:[CA]]),0)</f>
        <v>91</v>
      </c>
      <c r="Q36" s="5">
        <v>59</v>
      </c>
      <c r="R36" s="5" t="str">
        <f ca="1">IF(DATA[[#This Row],[TOTAL (1000)]]&lt;700,"HELP","")</f>
        <v/>
      </c>
      <c r="S36" s="5" t="str">
        <f ca="1">IF(DATA[[#This Row],[TOTAL (1000)]]&gt;=700, "PASS","FAIL")</f>
        <v>PASS</v>
      </c>
    </row>
    <row r="37" spans="1:19" ht="15.75" x14ac:dyDescent="0.25">
      <c r="A37" s="5" t="s">
        <v>213</v>
      </c>
      <c r="B37" s="5">
        <v>1</v>
      </c>
      <c r="C37" s="5" t="s">
        <v>47</v>
      </c>
      <c r="D37" s="5">
        <v>1</v>
      </c>
      <c r="E37" s="5">
        <f>MATH!K38</f>
        <v>87</v>
      </c>
      <c r="F37" s="5">
        <f>Table9[[#This Row],[TOTAL]]</f>
        <v>88</v>
      </c>
      <c r="G37" s="5">
        <f>ROUND(Table10[[#This Row],[TOTAL]],0)</f>
        <v>86</v>
      </c>
      <c r="H37" s="5">
        <f ca="1">ROUND(Table11[[#This Row],[TOTAL]],0)</f>
        <v>84</v>
      </c>
      <c r="I37" s="5">
        <f>Table12[[#This Row],[TOTAL]]</f>
        <v>88.100000000000009</v>
      </c>
      <c r="J37" s="5">
        <f>Table1618[[#This Row],[TOTAL]]</f>
        <v>86</v>
      </c>
      <c r="K37" s="5">
        <f>Table16[[#This Row],[TOTAL]]</f>
        <v>87</v>
      </c>
      <c r="L37" s="5">
        <f ca="1">Table13[[#This Row],[TOTAL]]</f>
        <v>73</v>
      </c>
      <c r="M37" s="5">
        <v>71.599999999999994</v>
      </c>
      <c r="N37" s="5">
        <v>95.3</v>
      </c>
      <c r="O37" s="5">
        <f ca="1">ROUND(SUM(DATA[[#This Row],[MATH]:[CA]]),0)</f>
        <v>846</v>
      </c>
      <c r="P37" s="5">
        <f ca="1">ROUND(AVERAGE(DATA[[#This Row],[MATH]:[CA]]),0)</f>
        <v>85</v>
      </c>
      <c r="Q37" s="5">
        <v>58</v>
      </c>
      <c r="R37" s="5" t="str">
        <f ca="1">IF(DATA[[#This Row],[TOTAL (1000)]]&lt;700,"HELP","")</f>
        <v/>
      </c>
      <c r="S37" s="5" t="str">
        <f ca="1">IF(DATA[[#This Row],[TOTAL (1000)]]&gt;=700, "PASS","FAIL")</f>
        <v>PASS</v>
      </c>
    </row>
    <row r="38" spans="1:19" ht="15.75" x14ac:dyDescent="0.25">
      <c r="A38" s="5" t="s">
        <v>214</v>
      </c>
      <c r="B38" s="5">
        <v>1</v>
      </c>
      <c r="C38" s="5" t="s">
        <v>46</v>
      </c>
      <c r="D38" s="5">
        <v>1</v>
      </c>
      <c r="E38" s="5">
        <f>MATH!K39</f>
        <v>80</v>
      </c>
      <c r="F38" s="5">
        <f>Table9[[#This Row],[TOTAL]]</f>
        <v>83</v>
      </c>
      <c r="G38" s="5">
        <f>ROUND(Table10[[#This Row],[TOTAL]],0)</f>
        <v>90</v>
      </c>
      <c r="H38" s="5">
        <f ca="1">ROUND(Table11[[#This Row],[TOTAL]],0)</f>
        <v>92</v>
      </c>
      <c r="I38" s="5">
        <f>Table12[[#This Row],[TOTAL]]</f>
        <v>80.5</v>
      </c>
      <c r="J38" s="5">
        <f>Table1618[[#This Row],[TOTAL]]</f>
        <v>75</v>
      </c>
      <c r="K38" s="5">
        <f>Table16[[#This Row],[TOTAL]]</f>
        <v>93.5</v>
      </c>
      <c r="L38" s="5">
        <f ca="1">Table13[[#This Row],[TOTAL]]</f>
        <v>77</v>
      </c>
      <c r="M38" s="5">
        <v>70.599999999999994</v>
      </c>
      <c r="N38" s="5">
        <v>93.2</v>
      </c>
      <c r="O38" s="5">
        <f ca="1">ROUND(SUM(DATA[[#This Row],[MATH]:[CA]]),0)</f>
        <v>835</v>
      </c>
      <c r="P38" s="5">
        <f ca="1">ROUND(AVERAGE(DATA[[#This Row],[MATH]:[CA]]),0)</f>
        <v>83</v>
      </c>
      <c r="Q38" s="5">
        <f t="shared" ref="Q38:Q80" ca="1" si="0">RANDBETWEEN(30, 60)</f>
        <v>43</v>
      </c>
      <c r="R38" s="5" t="str">
        <f ca="1">IF(DATA[[#This Row],[TOTAL (1000)]]&lt;700,"HELP","")</f>
        <v/>
      </c>
      <c r="S38" s="5" t="str">
        <f ca="1">IF(DATA[[#This Row],[TOTAL (1000)]]&gt;=700, "PASS","FAIL")</f>
        <v>PASS</v>
      </c>
    </row>
    <row r="39" spans="1:19" ht="15.75" x14ac:dyDescent="0.25">
      <c r="A39" s="5" t="s">
        <v>215</v>
      </c>
      <c r="B39" s="5">
        <v>1</v>
      </c>
      <c r="C39" s="5" t="s">
        <v>46</v>
      </c>
      <c r="D39" s="5">
        <v>1</v>
      </c>
      <c r="E39" s="5">
        <f>MATH!K40</f>
        <v>81</v>
      </c>
      <c r="F39" s="5">
        <f>Table9[[#This Row],[TOTAL]]</f>
        <v>91</v>
      </c>
      <c r="G39" s="5">
        <f>ROUND(Table10[[#This Row],[TOTAL]],0)</f>
        <v>80</v>
      </c>
      <c r="H39" s="5">
        <f ca="1">ROUND(Table11[[#This Row],[TOTAL]],0)</f>
        <v>72</v>
      </c>
      <c r="I39" s="5">
        <f>Table12[[#This Row],[TOTAL]]</f>
        <v>84.5</v>
      </c>
      <c r="J39" s="5">
        <f>Table1618[[#This Row],[TOTAL]]</f>
        <v>75</v>
      </c>
      <c r="K39" s="5">
        <f>Table16[[#This Row],[TOTAL]]</f>
        <v>76.5</v>
      </c>
      <c r="L39" s="5">
        <f ca="1">Table13[[#This Row],[TOTAL]]</f>
        <v>85</v>
      </c>
      <c r="M39" s="5">
        <v>77.599999999999994</v>
      </c>
      <c r="N39" s="5">
        <v>89.9</v>
      </c>
      <c r="O39" s="5">
        <f ca="1">ROUND(SUM(DATA[[#This Row],[MATH]:[CA]]),0)</f>
        <v>813</v>
      </c>
      <c r="P39" s="5">
        <f ca="1">ROUND(AVERAGE(DATA[[#This Row],[MATH]:[CA]]),0)</f>
        <v>81</v>
      </c>
      <c r="Q39" s="5">
        <f t="shared" ca="1" si="0"/>
        <v>51</v>
      </c>
      <c r="R39" s="5" t="str">
        <f ca="1">IF(DATA[[#This Row],[TOTAL (1000)]]&lt;700,"HELP","")</f>
        <v/>
      </c>
      <c r="S39" s="5" t="str">
        <f ca="1">IF(DATA[[#This Row],[TOTAL (1000)]]&gt;=700, "PASS","FAIL")</f>
        <v>PASS</v>
      </c>
    </row>
    <row r="40" spans="1:19" ht="15.75" x14ac:dyDescent="0.25">
      <c r="A40" s="5" t="s">
        <v>216</v>
      </c>
      <c r="B40" s="5">
        <v>1</v>
      </c>
      <c r="C40" s="5" t="s">
        <v>46</v>
      </c>
      <c r="D40" s="5">
        <v>1</v>
      </c>
      <c r="E40" s="5">
        <f>MATH!K41</f>
        <v>95</v>
      </c>
      <c r="F40" s="5">
        <f>Table9[[#This Row],[TOTAL]]</f>
        <v>98</v>
      </c>
      <c r="G40" s="5">
        <f>ROUND(Table10[[#This Row],[TOTAL]],0)</f>
        <v>93</v>
      </c>
      <c r="H40" s="5">
        <f ca="1">ROUND(Table11[[#This Row],[TOTAL]],0)</f>
        <v>86</v>
      </c>
      <c r="I40" s="5">
        <f>Table12[[#This Row],[TOTAL]]</f>
        <v>94.9</v>
      </c>
      <c r="J40" s="5">
        <f>Table1618[[#This Row],[TOTAL]]</f>
        <v>89</v>
      </c>
      <c r="K40" s="5">
        <f>Table16[[#This Row],[TOTAL]]</f>
        <v>91</v>
      </c>
      <c r="L40" s="5">
        <f ca="1">Table13[[#This Row],[TOTAL]]</f>
        <v>90</v>
      </c>
      <c r="M40" s="5">
        <v>82.2</v>
      </c>
      <c r="N40" s="5">
        <v>97.4</v>
      </c>
      <c r="O40" s="5">
        <f ca="1">ROUND(SUM(DATA[[#This Row],[MATH]:[CA]]),0)</f>
        <v>917</v>
      </c>
      <c r="P40" s="5">
        <f ca="1">ROUND(AVERAGE(DATA[[#This Row],[MATH]:[CA]]),0)</f>
        <v>92</v>
      </c>
      <c r="Q40" s="5">
        <f t="shared" ca="1" si="0"/>
        <v>47</v>
      </c>
      <c r="R40" s="5" t="str">
        <f ca="1">IF(DATA[[#This Row],[TOTAL (1000)]]&lt;700,"HELP","")</f>
        <v/>
      </c>
      <c r="S40" s="5" t="str">
        <f ca="1">IF(DATA[[#This Row],[TOTAL (1000)]]&gt;=700, "PASS","FAIL")</f>
        <v>PASS</v>
      </c>
    </row>
    <row r="41" spans="1:19" ht="15.75" x14ac:dyDescent="0.25">
      <c r="A41" s="5" t="s">
        <v>217</v>
      </c>
      <c r="B41" s="5">
        <v>1</v>
      </c>
      <c r="C41" s="5" t="s">
        <v>47</v>
      </c>
      <c r="D41" s="5">
        <v>1</v>
      </c>
      <c r="E41" s="5">
        <f>MATH!K42</f>
        <v>80</v>
      </c>
      <c r="F41" s="5">
        <f>Table9[[#This Row],[TOTAL]]</f>
        <v>88</v>
      </c>
      <c r="G41" s="5">
        <f>ROUND(Table10[[#This Row],[TOTAL]],0)</f>
        <v>89</v>
      </c>
      <c r="H41" s="5">
        <f ca="1">ROUND(Table11[[#This Row],[TOTAL]],0)</f>
        <v>85</v>
      </c>
      <c r="I41" s="5">
        <f>Table12[[#This Row],[TOTAL]]</f>
        <v>86.5</v>
      </c>
      <c r="J41" s="5">
        <f>Table1618[[#This Row],[TOTAL]]</f>
        <v>79</v>
      </c>
      <c r="K41" s="5">
        <f>Table16[[#This Row],[TOTAL]]</f>
        <v>83</v>
      </c>
      <c r="L41" s="5">
        <f ca="1">Table13[[#This Row],[TOTAL]]</f>
        <v>92</v>
      </c>
      <c r="M41" s="5">
        <v>63.4</v>
      </c>
      <c r="N41" s="5">
        <v>88.7</v>
      </c>
      <c r="O41" s="5">
        <f ca="1">ROUND(SUM(DATA[[#This Row],[MATH]:[CA]]),0)</f>
        <v>835</v>
      </c>
      <c r="P41" s="5">
        <f ca="1">ROUND(AVERAGE(DATA[[#This Row],[MATH]:[CA]]),0)</f>
        <v>83</v>
      </c>
      <c r="Q41" s="5">
        <f t="shared" ca="1" si="0"/>
        <v>33</v>
      </c>
      <c r="R41" s="5" t="str">
        <f ca="1">IF(DATA[[#This Row],[TOTAL (1000)]]&lt;700,"HELP","")</f>
        <v/>
      </c>
      <c r="S41" s="5" t="str">
        <f ca="1">IF(DATA[[#This Row],[TOTAL (1000)]]&gt;=700, "PASS","FAIL")</f>
        <v>PASS</v>
      </c>
    </row>
    <row r="42" spans="1:19" ht="15.75" x14ac:dyDescent="0.25">
      <c r="A42" s="5" t="s">
        <v>218</v>
      </c>
      <c r="B42" s="5">
        <v>1</v>
      </c>
      <c r="C42" s="5" t="s">
        <v>47</v>
      </c>
      <c r="D42" s="5">
        <v>1</v>
      </c>
      <c r="E42" s="5">
        <f>MATH!K43</f>
        <v>96</v>
      </c>
      <c r="F42" s="5">
        <f>Table9[[#This Row],[TOTAL]]</f>
        <v>99</v>
      </c>
      <c r="G42" s="5">
        <f>ROUND(Table10[[#This Row],[TOTAL]],0)</f>
        <v>93</v>
      </c>
      <c r="H42" s="5">
        <f ca="1">ROUND(Table11[[#This Row],[TOTAL]],0)</f>
        <v>76</v>
      </c>
      <c r="I42" s="5">
        <f>Table12[[#This Row],[TOTAL]]</f>
        <v>98.7</v>
      </c>
      <c r="J42" s="5">
        <f>Table1618[[#This Row],[TOTAL]]</f>
        <v>94</v>
      </c>
      <c r="K42" s="5">
        <f>Table16[[#This Row],[TOTAL]]</f>
        <v>100</v>
      </c>
      <c r="L42" s="5">
        <f ca="1">Table13[[#This Row],[TOTAL]]</f>
        <v>86</v>
      </c>
      <c r="M42" s="5">
        <v>87.4</v>
      </c>
      <c r="N42" s="5">
        <v>95.1</v>
      </c>
      <c r="O42" s="5">
        <f ca="1">ROUND(SUM(DATA[[#This Row],[MATH]:[CA]]),0)</f>
        <v>925</v>
      </c>
      <c r="P42" s="5">
        <f ca="1">ROUND(AVERAGE(DATA[[#This Row],[MATH]:[CA]]),0)</f>
        <v>93</v>
      </c>
      <c r="Q42" s="5">
        <f t="shared" ca="1" si="0"/>
        <v>55</v>
      </c>
      <c r="R42" s="5" t="str">
        <f ca="1">IF(DATA[[#This Row],[TOTAL (1000)]]&lt;700,"HELP","")</f>
        <v/>
      </c>
      <c r="S42" s="5" t="str">
        <f ca="1">IF(DATA[[#This Row],[TOTAL (1000)]]&gt;=700, "PASS","FAIL")</f>
        <v>PASS</v>
      </c>
    </row>
    <row r="43" spans="1:19" ht="15.75" x14ac:dyDescent="0.25">
      <c r="A43" s="5" t="s">
        <v>219</v>
      </c>
      <c r="B43" s="5">
        <v>1</v>
      </c>
      <c r="C43" s="5" t="s">
        <v>46</v>
      </c>
      <c r="D43" s="5">
        <v>1</v>
      </c>
      <c r="E43" s="5">
        <f>MATH!K44</f>
        <v>95</v>
      </c>
      <c r="F43" s="5">
        <f>Table9[[#This Row],[TOTAL]]</f>
        <v>98</v>
      </c>
      <c r="G43" s="5">
        <f>ROUND(Table10[[#This Row],[TOTAL]],0)</f>
        <v>87</v>
      </c>
      <c r="H43" s="5">
        <f ca="1">ROUND(Table11[[#This Row],[TOTAL]],0)</f>
        <v>89</v>
      </c>
      <c r="I43" s="5">
        <f>Table12[[#This Row],[TOTAL]]</f>
        <v>94.5</v>
      </c>
      <c r="J43" s="5">
        <f>Table1618[[#This Row],[TOTAL]]</f>
        <v>79</v>
      </c>
      <c r="K43" s="5">
        <f>Table16[[#This Row],[TOTAL]]</f>
        <v>100</v>
      </c>
      <c r="L43" s="5">
        <f ca="1">Table13[[#This Row],[TOTAL]]</f>
        <v>84</v>
      </c>
      <c r="M43" s="5">
        <v>79</v>
      </c>
      <c r="N43" s="5">
        <v>96.8</v>
      </c>
      <c r="O43" s="5">
        <f ca="1">ROUND(SUM(DATA[[#This Row],[MATH]:[CA]]),0)</f>
        <v>902</v>
      </c>
      <c r="P43" s="5">
        <f ca="1">ROUND(AVERAGE(DATA[[#This Row],[MATH]:[CA]]),0)</f>
        <v>90</v>
      </c>
      <c r="Q43" s="5">
        <f t="shared" ca="1" si="0"/>
        <v>58</v>
      </c>
      <c r="R43" s="5" t="str">
        <f ca="1">IF(DATA[[#This Row],[TOTAL (1000)]]&lt;700,"HELP","")</f>
        <v/>
      </c>
      <c r="S43" s="5" t="str">
        <f ca="1">IF(DATA[[#This Row],[TOTAL (1000)]]&gt;=700, "PASS","FAIL")</f>
        <v>PASS</v>
      </c>
    </row>
    <row r="44" spans="1:19" ht="15.75" x14ac:dyDescent="0.25">
      <c r="A44" s="5" t="s">
        <v>220</v>
      </c>
      <c r="B44" s="5">
        <v>1</v>
      </c>
      <c r="C44" s="5" t="s">
        <v>46</v>
      </c>
      <c r="D44" s="5">
        <v>1</v>
      </c>
      <c r="E44" s="5">
        <f>MATH!K45</f>
        <v>98</v>
      </c>
      <c r="F44" s="5">
        <f>Table9[[#This Row],[TOTAL]]</f>
        <v>99</v>
      </c>
      <c r="G44" s="5">
        <f>ROUND(Table10[[#This Row],[TOTAL]],0)</f>
        <v>97</v>
      </c>
      <c r="H44" s="5">
        <f ca="1">ROUND(Table11[[#This Row],[TOTAL]],0)</f>
        <v>85</v>
      </c>
      <c r="I44" s="5">
        <f>Table12[[#This Row],[TOTAL]]</f>
        <v>99</v>
      </c>
      <c r="J44" s="5">
        <f>Table1618[[#This Row],[TOTAL]]</f>
        <v>87</v>
      </c>
      <c r="K44" s="5">
        <f>Table16[[#This Row],[TOTAL]]</f>
        <v>97.5</v>
      </c>
      <c r="L44" s="5">
        <f ca="1">Table13[[#This Row],[TOTAL]]</f>
        <v>74</v>
      </c>
      <c r="M44" s="5">
        <v>88.6</v>
      </c>
      <c r="N44" s="5">
        <v>99.3</v>
      </c>
      <c r="O44" s="5">
        <f ca="1">ROUND(SUM(DATA[[#This Row],[MATH]:[CA]]),0)</f>
        <v>924</v>
      </c>
      <c r="P44" s="5">
        <f ca="1">ROUND(AVERAGE(DATA[[#This Row],[MATH]:[CA]]),0)</f>
        <v>92</v>
      </c>
      <c r="Q44" s="5">
        <f t="shared" ca="1" si="0"/>
        <v>34</v>
      </c>
      <c r="R44" s="5" t="str">
        <f ca="1">IF(DATA[[#This Row],[TOTAL (1000)]]&lt;700,"HELP","")</f>
        <v/>
      </c>
      <c r="S44" s="5" t="str">
        <f ca="1">IF(DATA[[#This Row],[TOTAL (1000)]]&gt;=700, "PASS","FAIL")</f>
        <v>PASS</v>
      </c>
    </row>
    <row r="45" spans="1:19" ht="15.75" x14ac:dyDescent="0.25">
      <c r="A45" s="5" t="s">
        <v>221</v>
      </c>
      <c r="B45" s="5">
        <v>1</v>
      </c>
      <c r="C45" s="5" t="s">
        <v>47</v>
      </c>
      <c r="D45" s="5">
        <v>1</v>
      </c>
      <c r="E45" s="5">
        <f>MATH!K46</f>
        <v>89</v>
      </c>
      <c r="F45" s="5">
        <f>Table9[[#This Row],[TOTAL]]</f>
        <v>90</v>
      </c>
      <c r="G45" s="5">
        <f>ROUND(Table10[[#This Row],[TOTAL]],0)</f>
        <v>87</v>
      </c>
      <c r="H45" s="5">
        <f ca="1">ROUND(Table11[[#This Row],[TOTAL]],0)</f>
        <v>73</v>
      </c>
      <c r="I45" s="5">
        <f>Table12[[#This Row],[TOTAL]]</f>
        <v>88.1</v>
      </c>
      <c r="J45" s="5">
        <f>Table1618[[#This Row],[TOTAL]]</f>
        <v>81</v>
      </c>
      <c r="K45" s="5">
        <f>Table16[[#This Row],[TOTAL]]</f>
        <v>74</v>
      </c>
      <c r="L45" s="5">
        <f ca="1">Table13[[#This Row],[TOTAL]]</f>
        <v>88</v>
      </c>
      <c r="M45" s="5">
        <v>82</v>
      </c>
      <c r="N45" s="5">
        <v>96.3</v>
      </c>
      <c r="O45" s="5">
        <f ca="1">ROUND(SUM(DATA[[#This Row],[MATH]:[CA]]),0)</f>
        <v>848</v>
      </c>
      <c r="P45" s="5">
        <f ca="1">ROUND(AVERAGE(DATA[[#This Row],[MATH]:[CA]]),0)</f>
        <v>85</v>
      </c>
      <c r="Q45" s="5">
        <f t="shared" ca="1" si="0"/>
        <v>36</v>
      </c>
      <c r="R45" s="5" t="str">
        <f ca="1">IF(DATA[[#This Row],[TOTAL (1000)]]&lt;700,"HELP","")</f>
        <v/>
      </c>
      <c r="S45" s="5" t="str">
        <f ca="1">IF(DATA[[#This Row],[TOTAL (1000)]]&gt;=700, "PASS","FAIL")</f>
        <v>PASS</v>
      </c>
    </row>
    <row r="46" spans="1:19" ht="15.75" x14ac:dyDescent="0.25">
      <c r="A46" s="5" t="s">
        <v>222</v>
      </c>
      <c r="B46" s="5">
        <v>1</v>
      </c>
      <c r="C46" s="5" t="s">
        <v>46</v>
      </c>
      <c r="D46" s="5">
        <v>1</v>
      </c>
      <c r="E46" s="5">
        <f>MATH!K47</f>
        <v>80</v>
      </c>
      <c r="F46" s="5">
        <f>Table9[[#This Row],[TOTAL]]</f>
        <v>88</v>
      </c>
      <c r="G46" s="5">
        <f>ROUND(Table10[[#This Row],[TOTAL]],0)</f>
        <v>89</v>
      </c>
      <c r="H46" s="5">
        <f ca="1">ROUND(Table11[[#This Row],[TOTAL]],0)</f>
        <v>90</v>
      </c>
      <c r="I46" s="5">
        <f>Table12[[#This Row],[TOTAL]]</f>
        <v>93.4</v>
      </c>
      <c r="J46" s="5">
        <f>Table1618[[#This Row],[TOTAL]]</f>
        <v>74</v>
      </c>
      <c r="K46" s="5">
        <f>Table16[[#This Row],[TOTAL]]</f>
        <v>95.5</v>
      </c>
      <c r="L46" s="5">
        <f ca="1">Table13[[#This Row],[TOTAL]]</f>
        <v>87</v>
      </c>
      <c r="M46" s="5">
        <v>60.4</v>
      </c>
      <c r="N46" s="5">
        <v>93</v>
      </c>
      <c r="O46" s="5">
        <f ca="1">ROUND(SUM(DATA[[#This Row],[MATH]:[CA]]),0)</f>
        <v>850</v>
      </c>
      <c r="P46" s="5">
        <f ca="1">ROUND(AVERAGE(DATA[[#This Row],[MATH]:[CA]]),0)</f>
        <v>85</v>
      </c>
      <c r="Q46" s="5">
        <f t="shared" ca="1" si="0"/>
        <v>41</v>
      </c>
      <c r="R46" s="5" t="str">
        <f ca="1">IF(DATA[[#This Row],[TOTAL (1000)]]&lt;700,"HELP","")</f>
        <v/>
      </c>
      <c r="S46" s="5" t="str">
        <f ca="1">IF(DATA[[#This Row],[TOTAL (1000)]]&gt;=700, "PASS","FAIL")</f>
        <v>PASS</v>
      </c>
    </row>
    <row r="47" spans="1:19" ht="15.75" x14ac:dyDescent="0.25">
      <c r="A47" s="5" t="s">
        <v>223</v>
      </c>
      <c r="B47" s="5">
        <v>1</v>
      </c>
      <c r="C47" s="5" t="s">
        <v>47</v>
      </c>
      <c r="D47" s="5">
        <v>1</v>
      </c>
      <c r="E47" s="5">
        <f>MATH!K48</f>
        <v>72</v>
      </c>
      <c r="F47" s="5">
        <f>Table9[[#This Row],[TOTAL]]</f>
        <v>71</v>
      </c>
      <c r="G47" s="5">
        <f>ROUND(Table10[[#This Row],[TOTAL]],0)</f>
        <v>63</v>
      </c>
      <c r="H47" s="5">
        <f ca="1">ROUND(Table11[[#This Row],[TOTAL]],0)</f>
        <v>72</v>
      </c>
      <c r="I47" s="5">
        <f>Table12[[#This Row],[TOTAL]]</f>
        <v>78.400000000000006</v>
      </c>
      <c r="J47" s="5">
        <f>Table1618[[#This Row],[TOTAL]]</f>
        <v>54</v>
      </c>
      <c r="K47" s="5">
        <f>Table16[[#This Row],[TOTAL]]</f>
        <v>82</v>
      </c>
      <c r="L47" s="5">
        <f ca="1">Table13[[#This Row],[TOTAL]]</f>
        <v>88</v>
      </c>
      <c r="M47" s="5">
        <v>56</v>
      </c>
      <c r="N47" s="5">
        <v>84.4</v>
      </c>
      <c r="O47" s="5">
        <f ca="1">ROUND(SUM(DATA[[#This Row],[MATH]:[CA]]),0)</f>
        <v>721</v>
      </c>
      <c r="P47" s="5">
        <f ca="1">ROUND(AVERAGE(DATA[[#This Row],[MATH]:[CA]]),0)</f>
        <v>72</v>
      </c>
      <c r="Q47" s="5">
        <f t="shared" ca="1" si="0"/>
        <v>37</v>
      </c>
      <c r="R47" s="5" t="str">
        <f ca="1">IF(DATA[[#This Row],[TOTAL (1000)]]&lt;700,"HELP","")</f>
        <v/>
      </c>
      <c r="S47" s="5" t="str">
        <f ca="1">IF(DATA[[#This Row],[TOTAL (1000)]]&gt;=700, "PASS","FAIL")</f>
        <v>PASS</v>
      </c>
    </row>
    <row r="48" spans="1:19" ht="15.75" x14ac:dyDescent="0.25">
      <c r="A48" s="5" t="s">
        <v>224</v>
      </c>
      <c r="B48" s="5">
        <v>1</v>
      </c>
      <c r="C48" s="5" t="s">
        <v>47</v>
      </c>
      <c r="D48" s="5">
        <v>1</v>
      </c>
      <c r="E48" s="5">
        <f>MATH!K49</f>
        <v>90</v>
      </c>
      <c r="F48" s="5">
        <f>Table9[[#This Row],[TOTAL]]</f>
        <v>91</v>
      </c>
      <c r="G48" s="5">
        <f>ROUND(Table10[[#This Row],[TOTAL]],0)</f>
        <v>89</v>
      </c>
      <c r="H48" s="5">
        <f ca="1">ROUND(Table11[[#This Row],[TOTAL]],0)</f>
        <v>81</v>
      </c>
      <c r="I48" s="5">
        <f>Table12[[#This Row],[TOTAL]]</f>
        <v>92.1</v>
      </c>
      <c r="J48" s="5">
        <f>Table1618[[#This Row],[TOTAL]]</f>
        <v>84</v>
      </c>
      <c r="K48" s="5">
        <f>Table16[[#This Row],[TOTAL]]</f>
        <v>95.5</v>
      </c>
      <c r="L48" s="5">
        <f ca="1">Table13[[#This Row],[TOTAL]]</f>
        <v>73</v>
      </c>
      <c r="M48" s="5">
        <v>81.599999999999994</v>
      </c>
      <c r="N48" s="5">
        <v>96.9</v>
      </c>
      <c r="O48" s="5">
        <f ca="1">ROUND(SUM(DATA[[#This Row],[MATH]:[CA]]),0)</f>
        <v>874</v>
      </c>
      <c r="P48" s="5">
        <f ca="1">ROUND(AVERAGE(DATA[[#This Row],[MATH]:[CA]]),0)</f>
        <v>87</v>
      </c>
      <c r="Q48" s="5">
        <f t="shared" ca="1" si="0"/>
        <v>33</v>
      </c>
      <c r="R48" s="5" t="str">
        <f ca="1">IF(DATA[[#This Row],[TOTAL (1000)]]&lt;700,"HELP","")</f>
        <v/>
      </c>
      <c r="S48" s="5" t="str">
        <f ca="1">IF(DATA[[#This Row],[TOTAL (1000)]]&gt;=700, "PASS","FAIL")</f>
        <v>PASS</v>
      </c>
    </row>
    <row r="49" spans="1:19" ht="15.75" x14ac:dyDescent="0.25">
      <c r="A49" s="5" t="s">
        <v>225</v>
      </c>
      <c r="B49" s="5">
        <v>1</v>
      </c>
      <c r="C49" s="5" t="s">
        <v>46</v>
      </c>
      <c r="D49" s="5">
        <v>1</v>
      </c>
      <c r="E49" s="5">
        <f>MATH!K50</f>
        <v>92</v>
      </c>
      <c r="F49" s="5">
        <f>Table9[[#This Row],[TOTAL]]</f>
        <v>99</v>
      </c>
      <c r="G49" s="5">
        <f>ROUND(Table10[[#This Row],[TOTAL]],0)</f>
        <v>95</v>
      </c>
      <c r="H49" s="5">
        <f ca="1">ROUND(Table11[[#This Row],[TOTAL]],0)</f>
        <v>93</v>
      </c>
      <c r="I49" s="5">
        <f>Table12[[#This Row],[TOTAL]]</f>
        <v>97.9</v>
      </c>
      <c r="J49" s="5">
        <f>Table1618[[#This Row],[TOTAL]]</f>
        <v>92</v>
      </c>
      <c r="K49" s="5">
        <f>Table16[[#This Row],[TOTAL]]</f>
        <v>95.5</v>
      </c>
      <c r="L49" s="5">
        <f ca="1">Table13[[#This Row],[TOTAL]]</f>
        <v>79</v>
      </c>
      <c r="M49" s="5">
        <v>79.8</v>
      </c>
      <c r="N49" s="5">
        <v>95.2</v>
      </c>
      <c r="O49" s="5">
        <f ca="1">ROUND(SUM(DATA[[#This Row],[MATH]:[CA]]),0)</f>
        <v>918</v>
      </c>
      <c r="P49" s="5">
        <f ca="1">ROUND(AVERAGE(DATA[[#This Row],[MATH]:[CA]]),0)</f>
        <v>92</v>
      </c>
      <c r="Q49" s="5">
        <f t="shared" ca="1" si="0"/>
        <v>38</v>
      </c>
      <c r="R49" s="5" t="str">
        <f ca="1">IF(DATA[[#This Row],[TOTAL (1000)]]&lt;700,"HELP","")</f>
        <v/>
      </c>
      <c r="S49" s="5" t="str">
        <f ca="1">IF(DATA[[#This Row],[TOTAL (1000)]]&gt;=700, "PASS","FAIL")</f>
        <v>PASS</v>
      </c>
    </row>
    <row r="50" spans="1:19" ht="15.75" x14ac:dyDescent="0.25">
      <c r="A50" s="5" t="s">
        <v>226</v>
      </c>
      <c r="B50" s="5">
        <v>1</v>
      </c>
      <c r="C50" s="5" t="s">
        <v>46</v>
      </c>
      <c r="D50" s="5">
        <v>1</v>
      </c>
      <c r="E50" s="5">
        <f>MATH!K51</f>
        <v>91</v>
      </c>
      <c r="F50" s="5">
        <f>Table9[[#This Row],[TOTAL]]</f>
        <v>90</v>
      </c>
      <c r="G50" s="5">
        <f>ROUND(Table10[[#This Row],[TOTAL]],0)</f>
        <v>92</v>
      </c>
      <c r="H50" s="5">
        <f ca="1">ROUND(Table11[[#This Row],[TOTAL]],0)</f>
        <v>69</v>
      </c>
      <c r="I50" s="5">
        <f>Table12[[#This Row],[TOTAL]]</f>
        <v>96.600000000000009</v>
      </c>
      <c r="J50" s="5">
        <f>Table1618[[#This Row],[TOTAL]]</f>
        <v>84</v>
      </c>
      <c r="K50" s="5">
        <f>Table16[[#This Row],[TOTAL]]</f>
        <v>97.5</v>
      </c>
      <c r="L50" s="5">
        <f ca="1">Table13[[#This Row],[TOTAL]]</f>
        <v>75</v>
      </c>
      <c r="M50" s="5">
        <v>76.599999999999994</v>
      </c>
      <c r="N50" s="5">
        <v>94.6</v>
      </c>
      <c r="O50" s="5">
        <f ca="1">ROUND(SUM(DATA[[#This Row],[MATH]:[CA]]),0)</f>
        <v>866</v>
      </c>
      <c r="P50" s="5">
        <f ca="1">ROUND(AVERAGE(DATA[[#This Row],[MATH]:[CA]]),0)</f>
        <v>87</v>
      </c>
      <c r="Q50" s="5">
        <f t="shared" ca="1" si="0"/>
        <v>40</v>
      </c>
      <c r="R50" s="5" t="str">
        <f ca="1">IF(DATA[[#This Row],[TOTAL (1000)]]&lt;700,"HELP","")</f>
        <v/>
      </c>
      <c r="S50" s="5" t="str">
        <f ca="1">IF(DATA[[#This Row],[TOTAL (1000)]]&gt;=700, "PASS","FAIL")</f>
        <v>PASS</v>
      </c>
    </row>
    <row r="51" spans="1:19" ht="15.75" x14ac:dyDescent="0.25">
      <c r="A51" s="5" t="s">
        <v>227</v>
      </c>
      <c r="B51" s="5">
        <v>1</v>
      </c>
      <c r="C51" s="5" t="s">
        <v>46</v>
      </c>
      <c r="D51" s="5">
        <v>1</v>
      </c>
      <c r="E51" s="5">
        <f>MATH!K52</f>
        <v>93</v>
      </c>
      <c r="F51" s="5">
        <f>Table9[[#This Row],[TOTAL]]</f>
        <v>99</v>
      </c>
      <c r="G51" s="5">
        <f>ROUND(Table10[[#This Row],[TOTAL]],0)</f>
        <v>98</v>
      </c>
      <c r="H51" s="5">
        <f ca="1">ROUND(Table11[[#This Row],[TOTAL]],0)</f>
        <v>75</v>
      </c>
      <c r="I51" s="5">
        <f>Table12[[#This Row],[TOTAL]]</f>
        <v>98.5</v>
      </c>
      <c r="J51" s="5">
        <f>Table1618[[#This Row],[TOTAL]]</f>
        <v>91</v>
      </c>
      <c r="K51" s="5">
        <f>Table16[[#This Row],[TOTAL]]</f>
        <v>100</v>
      </c>
      <c r="L51" s="5">
        <f ca="1">Table13[[#This Row],[TOTAL]]</f>
        <v>81</v>
      </c>
      <c r="M51" s="5">
        <v>83</v>
      </c>
      <c r="N51" s="5">
        <v>94.6</v>
      </c>
      <c r="O51" s="5">
        <f ca="1">ROUND(SUM(DATA[[#This Row],[MATH]:[CA]]),0)</f>
        <v>913</v>
      </c>
      <c r="P51" s="5">
        <f ca="1">ROUND(AVERAGE(DATA[[#This Row],[MATH]:[CA]]),0)</f>
        <v>91</v>
      </c>
      <c r="Q51" s="5">
        <f t="shared" ca="1" si="0"/>
        <v>37</v>
      </c>
      <c r="R51" s="5" t="str">
        <f ca="1">IF(DATA[[#This Row],[TOTAL (1000)]]&lt;700,"HELP","")</f>
        <v/>
      </c>
      <c r="S51" s="5" t="str">
        <f ca="1">IF(DATA[[#This Row],[TOTAL (1000)]]&gt;=700, "PASS","FAIL")</f>
        <v>PASS</v>
      </c>
    </row>
    <row r="52" spans="1:19" ht="15.75" x14ac:dyDescent="0.25">
      <c r="A52" s="5" t="s">
        <v>228</v>
      </c>
      <c r="B52" s="5">
        <v>1</v>
      </c>
      <c r="C52" s="5" t="s">
        <v>47</v>
      </c>
      <c r="D52" s="5">
        <v>1</v>
      </c>
      <c r="E52" s="5">
        <f>MATH!K53</f>
        <v>77</v>
      </c>
      <c r="F52" s="5">
        <f>Table9[[#This Row],[TOTAL]]</f>
        <v>74</v>
      </c>
      <c r="G52" s="5">
        <f>ROUND(Table10[[#This Row],[TOTAL]],0)</f>
        <v>72</v>
      </c>
      <c r="H52" s="5">
        <f ca="1">ROUND(Table11[[#This Row],[TOTAL]],0)</f>
        <v>89</v>
      </c>
      <c r="I52" s="5">
        <f>Table12[[#This Row],[TOTAL]]</f>
        <v>92.5</v>
      </c>
      <c r="J52" s="5">
        <f>Table1618[[#This Row],[TOTAL]]</f>
        <v>87</v>
      </c>
      <c r="K52" s="5">
        <f>Table16[[#This Row],[TOTAL]]</f>
        <v>81</v>
      </c>
      <c r="L52" s="5">
        <f ca="1">Table13[[#This Row],[TOTAL]]</f>
        <v>81</v>
      </c>
      <c r="M52" s="5">
        <v>53</v>
      </c>
      <c r="N52" s="5">
        <v>75.8</v>
      </c>
      <c r="O52" s="5">
        <f ca="1">ROUND(SUM(DATA[[#This Row],[MATH]:[CA]]),0)</f>
        <v>782</v>
      </c>
      <c r="P52" s="5">
        <f ca="1">ROUND(AVERAGE(DATA[[#This Row],[MATH]:[CA]]),0)</f>
        <v>78</v>
      </c>
      <c r="Q52" s="5">
        <f t="shared" ca="1" si="0"/>
        <v>31</v>
      </c>
      <c r="R52" s="5" t="str">
        <f ca="1">IF(DATA[[#This Row],[TOTAL (1000)]]&lt;700,"HELP","")</f>
        <v/>
      </c>
      <c r="S52" s="5" t="str">
        <f ca="1">IF(DATA[[#This Row],[TOTAL (1000)]]&gt;=700, "PASS","FAIL")</f>
        <v>PASS</v>
      </c>
    </row>
    <row r="53" spans="1:19" ht="15.75" x14ac:dyDescent="0.25">
      <c r="A53" s="5" t="s">
        <v>229</v>
      </c>
      <c r="B53" s="5">
        <v>1</v>
      </c>
      <c r="C53" s="5" t="s">
        <v>46</v>
      </c>
      <c r="D53" s="5">
        <v>1</v>
      </c>
      <c r="E53" s="5">
        <f>MATH!K54</f>
        <v>90</v>
      </c>
      <c r="F53" s="5">
        <f>Table9[[#This Row],[TOTAL]]</f>
        <v>91</v>
      </c>
      <c r="G53" s="5">
        <f>ROUND(Table10[[#This Row],[TOTAL]],0)</f>
        <v>93</v>
      </c>
      <c r="H53" s="5">
        <f ca="1">ROUND(Table11[[#This Row],[TOTAL]],0)</f>
        <v>86</v>
      </c>
      <c r="I53" s="5">
        <f>Table12[[#This Row],[TOTAL]]</f>
        <v>93.7</v>
      </c>
      <c r="J53" s="5">
        <f>Table1618[[#This Row],[TOTAL]]</f>
        <v>81</v>
      </c>
      <c r="K53" s="5">
        <f>Table16[[#This Row],[TOTAL]]</f>
        <v>81.5</v>
      </c>
      <c r="L53" s="5">
        <f ca="1">Table13[[#This Row],[TOTAL]]</f>
        <v>91</v>
      </c>
      <c r="M53" s="5">
        <v>73.599999999999994</v>
      </c>
      <c r="N53" s="5">
        <v>97.8</v>
      </c>
      <c r="O53" s="5">
        <f ca="1">ROUND(SUM(DATA[[#This Row],[MATH]:[CA]]),0)</f>
        <v>879</v>
      </c>
      <c r="P53" s="5">
        <f ca="1">ROUND(AVERAGE(DATA[[#This Row],[MATH]:[CA]]),0)</f>
        <v>88</v>
      </c>
      <c r="Q53" s="5">
        <f t="shared" ca="1" si="0"/>
        <v>50</v>
      </c>
      <c r="R53" s="5" t="str">
        <f ca="1">IF(DATA[[#This Row],[TOTAL (1000)]]&lt;700,"HELP","")</f>
        <v/>
      </c>
      <c r="S53" s="5" t="str">
        <f ca="1">IF(DATA[[#This Row],[TOTAL (1000)]]&gt;=700, "PASS","FAIL")</f>
        <v>PASS</v>
      </c>
    </row>
    <row r="54" spans="1:19" ht="15.75" x14ac:dyDescent="0.25">
      <c r="A54" s="5" t="s">
        <v>230</v>
      </c>
      <c r="B54" s="5">
        <v>1</v>
      </c>
      <c r="C54" s="5" t="s">
        <v>46</v>
      </c>
      <c r="D54" s="5">
        <v>1</v>
      </c>
      <c r="E54" s="5">
        <f>MATH!K55</f>
        <v>79</v>
      </c>
      <c r="F54" s="5">
        <f>Table9[[#This Row],[TOTAL]]</f>
        <v>89</v>
      </c>
      <c r="G54" s="5">
        <f>ROUND(Table10[[#This Row],[TOTAL]],0)</f>
        <v>89</v>
      </c>
      <c r="H54" s="5">
        <f ca="1">ROUND(Table11[[#This Row],[TOTAL]],0)</f>
        <v>95</v>
      </c>
      <c r="I54" s="5">
        <f>Table12[[#This Row],[TOTAL]]</f>
        <v>90.5</v>
      </c>
      <c r="J54" s="5">
        <f>Table1618[[#This Row],[TOTAL]]</f>
        <v>76</v>
      </c>
      <c r="K54" s="5">
        <f>Table16[[#This Row],[TOTAL]]</f>
        <v>81.5</v>
      </c>
      <c r="L54" s="5">
        <f ca="1">Table13[[#This Row],[TOTAL]]</f>
        <v>88</v>
      </c>
      <c r="M54" s="5">
        <v>84.4</v>
      </c>
      <c r="N54" s="5">
        <v>96.2</v>
      </c>
      <c r="O54" s="5">
        <f ca="1">ROUND(SUM(DATA[[#This Row],[MATH]:[CA]]),0)</f>
        <v>869</v>
      </c>
      <c r="P54" s="5">
        <f ca="1">ROUND(AVERAGE(DATA[[#This Row],[MATH]:[CA]]),0)</f>
        <v>87</v>
      </c>
      <c r="Q54" s="5">
        <f t="shared" ca="1" si="0"/>
        <v>30</v>
      </c>
      <c r="R54" s="5" t="str">
        <f ca="1">IF(DATA[[#This Row],[TOTAL (1000)]]&lt;700,"HELP","")</f>
        <v/>
      </c>
      <c r="S54" s="5" t="str">
        <f ca="1">IF(DATA[[#This Row],[TOTAL (1000)]]&gt;=700, "PASS","FAIL")</f>
        <v>PASS</v>
      </c>
    </row>
    <row r="55" spans="1:19" s="55" customFormat="1" ht="15.75" x14ac:dyDescent="0.25">
      <c r="A55" s="5" t="s">
        <v>231</v>
      </c>
      <c r="B55" s="58">
        <v>1</v>
      </c>
      <c r="C55" s="58" t="s">
        <v>47</v>
      </c>
      <c r="D55" s="58">
        <v>2</v>
      </c>
      <c r="E55" s="58">
        <f>MATH!K56</f>
        <v>69</v>
      </c>
      <c r="F55" s="58">
        <f>Table9[[#This Row],[TOTAL]]</f>
        <v>63</v>
      </c>
      <c r="G55" s="58">
        <f>ROUND(Table10[[#This Row],[TOTAL]],0)</f>
        <v>66</v>
      </c>
      <c r="H55" s="58">
        <f>ROUND(Table11[[#This Row],[TOTAL]],0)</f>
        <v>78</v>
      </c>
      <c r="I55" s="58">
        <f>Table12[[#This Row],[TOTAL]]</f>
        <v>66.099999999999994</v>
      </c>
      <c r="J55" s="58">
        <f>Table1618[[#This Row],[TOTAL]]</f>
        <v>52</v>
      </c>
      <c r="K55" s="58">
        <f>Table16[[#This Row],[TOTAL]]</f>
        <v>70</v>
      </c>
      <c r="L55" s="58">
        <f>Table13[[#This Row],[TOTAL]]</f>
        <v>64</v>
      </c>
      <c r="M55" s="58">
        <v>77.5</v>
      </c>
      <c r="N55" s="58">
        <v>52.4</v>
      </c>
      <c r="O55" s="58">
        <f>ROUND(SUM(DATA[[#This Row],[MATH]:[CA]]),0)</f>
        <v>658</v>
      </c>
      <c r="P55" s="58">
        <f>ROUND(AVERAGE(DATA[[#This Row],[MATH]:[CA]]),0)</f>
        <v>66</v>
      </c>
      <c r="Q55" s="58">
        <f t="shared" ca="1" si="0"/>
        <v>36</v>
      </c>
      <c r="R55" s="58" t="str">
        <f>IF(DATA[[#This Row],[TOTAL (1000)]]&lt;700,"HELP","")</f>
        <v>HELP</v>
      </c>
      <c r="S55" s="58" t="str">
        <f>IF(DATA[[#This Row],[TOTAL (1000)]]&gt;=700, "PASS","FAIL")</f>
        <v>FAIL</v>
      </c>
    </row>
    <row r="56" spans="1:19" ht="15.75" x14ac:dyDescent="0.25">
      <c r="A56" s="5" t="s">
        <v>232</v>
      </c>
      <c r="B56" s="5">
        <v>1</v>
      </c>
      <c r="C56" s="5" t="s">
        <v>46</v>
      </c>
      <c r="D56" s="5">
        <v>2</v>
      </c>
      <c r="E56" s="5">
        <f>MATH!K57</f>
        <v>93</v>
      </c>
      <c r="F56" s="5">
        <f>Table9[[#This Row],[TOTAL]]</f>
        <v>95</v>
      </c>
      <c r="G56" s="5">
        <f>ROUND(Table10[[#This Row],[TOTAL]],0)</f>
        <v>94</v>
      </c>
      <c r="H56" s="5">
        <f>ROUND(Table11[[#This Row],[TOTAL]],0)</f>
        <v>91</v>
      </c>
      <c r="I56" s="5">
        <f>Table12[[#This Row],[TOTAL]]</f>
        <v>90</v>
      </c>
      <c r="J56" s="5">
        <f>Table1618[[#This Row],[TOTAL]]</f>
        <v>79</v>
      </c>
      <c r="K56" s="5">
        <f>Table16[[#This Row],[TOTAL]]</f>
        <v>89.5</v>
      </c>
      <c r="L56" s="5">
        <f>Table13[[#This Row],[TOTAL]]</f>
        <v>92</v>
      </c>
      <c r="M56" s="5">
        <v>97.9</v>
      </c>
      <c r="N56" s="5">
        <v>88.1</v>
      </c>
      <c r="O56" s="5">
        <f>ROUND(SUM(DATA[[#This Row],[MATH]:[CA]]),0)</f>
        <v>910</v>
      </c>
      <c r="P56" s="5">
        <f>ROUND(AVERAGE(DATA[[#This Row],[MATH]:[CA]]),0)</f>
        <v>91</v>
      </c>
      <c r="Q56" s="5">
        <f t="shared" ca="1" si="0"/>
        <v>35</v>
      </c>
      <c r="R56" s="5" t="str">
        <f>IF(DATA[[#This Row],[TOTAL (1000)]]&lt;700,"HELP","")</f>
        <v/>
      </c>
      <c r="S56" s="5" t="str">
        <f>IF(DATA[[#This Row],[TOTAL (1000)]]&gt;=700, "PASS","FAIL")</f>
        <v>PASS</v>
      </c>
    </row>
    <row r="57" spans="1:19" ht="15.75" x14ac:dyDescent="0.25">
      <c r="A57" s="5" t="s">
        <v>233</v>
      </c>
      <c r="B57" s="5">
        <v>1</v>
      </c>
      <c r="C57" s="5" t="s">
        <v>46</v>
      </c>
      <c r="D57" s="5">
        <v>2</v>
      </c>
      <c r="E57" s="5">
        <f>MATH!K58</f>
        <v>97</v>
      </c>
      <c r="F57" s="5">
        <f>Table9[[#This Row],[TOTAL]]</f>
        <v>98</v>
      </c>
      <c r="G57" s="5">
        <f>ROUND(Table10[[#This Row],[TOTAL]],0)</f>
        <v>96</v>
      </c>
      <c r="H57" s="5">
        <f>ROUND(Table11[[#This Row],[TOTAL]],0)</f>
        <v>98</v>
      </c>
      <c r="I57" s="5">
        <f>Table12[[#This Row],[TOTAL]]</f>
        <v>95.4</v>
      </c>
      <c r="J57" s="5">
        <f>Table1618[[#This Row],[TOTAL]]</f>
        <v>84</v>
      </c>
      <c r="K57" s="5">
        <f>Table16[[#This Row],[TOTAL]]</f>
        <v>99.6</v>
      </c>
      <c r="L57" s="5">
        <f>Table13[[#This Row],[TOTAL]]</f>
        <v>92</v>
      </c>
      <c r="M57" s="5">
        <v>91.8</v>
      </c>
      <c r="N57" s="5">
        <v>85.1</v>
      </c>
      <c r="O57" s="5">
        <f>ROUND(SUM(DATA[[#This Row],[MATH]:[CA]]),0)</f>
        <v>937</v>
      </c>
      <c r="P57" s="5">
        <f>ROUND(AVERAGE(DATA[[#This Row],[MATH]:[CA]]),0)</f>
        <v>94</v>
      </c>
      <c r="Q57" s="5">
        <f t="shared" ca="1" si="0"/>
        <v>30</v>
      </c>
      <c r="R57" s="5" t="str">
        <f>IF(DATA[[#This Row],[TOTAL (1000)]]&lt;700,"HELP","")</f>
        <v/>
      </c>
      <c r="S57" s="5" t="str">
        <f>IF(DATA[[#This Row],[TOTAL (1000)]]&gt;=700, "PASS","FAIL")</f>
        <v>PASS</v>
      </c>
    </row>
    <row r="58" spans="1:19" ht="15.75" x14ac:dyDescent="0.25">
      <c r="A58" s="5" t="s">
        <v>234</v>
      </c>
      <c r="B58" s="5">
        <v>1</v>
      </c>
      <c r="C58" s="5" t="s">
        <v>46</v>
      </c>
      <c r="D58" s="5">
        <v>2</v>
      </c>
      <c r="E58" s="5">
        <f>MATH!K59</f>
        <v>68</v>
      </c>
      <c r="F58" s="5">
        <f>Table9[[#This Row],[TOTAL]]</f>
        <v>71</v>
      </c>
      <c r="G58" s="5">
        <f>ROUND(Table10[[#This Row],[TOTAL]],0)</f>
        <v>73</v>
      </c>
      <c r="H58" s="5">
        <f>ROUND(Table11[[#This Row],[TOTAL]],0)</f>
        <v>79</v>
      </c>
      <c r="I58" s="5">
        <f>Table12[[#This Row],[TOTAL]]</f>
        <v>76.7</v>
      </c>
      <c r="J58" s="5">
        <f>Table1618[[#This Row],[TOTAL]]</f>
        <v>66</v>
      </c>
      <c r="K58" s="5">
        <f>Table16[[#This Row],[TOTAL]]</f>
        <v>74.5</v>
      </c>
      <c r="L58" s="5">
        <f>Table13[[#This Row],[TOTAL]]</f>
        <v>61</v>
      </c>
      <c r="M58" s="5">
        <v>79.099999999999994</v>
      </c>
      <c r="N58" s="5">
        <v>87.5</v>
      </c>
      <c r="O58" s="5">
        <f>ROUND(SUM(DATA[[#This Row],[MATH]:[CA]]),0)</f>
        <v>736</v>
      </c>
      <c r="P58" s="5">
        <f>ROUND(AVERAGE(DATA[[#This Row],[MATH]:[CA]]),0)</f>
        <v>74</v>
      </c>
      <c r="Q58" s="5">
        <f t="shared" ca="1" si="0"/>
        <v>43</v>
      </c>
      <c r="R58" s="5" t="str">
        <f>IF(DATA[[#This Row],[TOTAL (1000)]]&lt;700,"HELP","")</f>
        <v/>
      </c>
      <c r="S58" s="5" t="str">
        <f>IF(DATA[[#This Row],[TOTAL (1000)]]&gt;=700, "PASS","FAIL")</f>
        <v>PASS</v>
      </c>
    </row>
    <row r="59" spans="1:19" ht="15.75" x14ac:dyDescent="0.25">
      <c r="A59" s="5" t="s">
        <v>235</v>
      </c>
      <c r="B59" s="5">
        <v>1</v>
      </c>
      <c r="C59" s="5" t="s">
        <v>47</v>
      </c>
      <c r="D59" s="5">
        <v>2</v>
      </c>
      <c r="E59" s="5">
        <f>MATH!K60</f>
        <v>97</v>
      </c>
      <c r="F59" s="5">
        <f>Table9[[#This Row],[TOTAL]]</f>
        <v>97</v>
      </c>
      <c r="G59" s="5">
        <f>ROUND(Table10[[#This Row],[TOTAL]],0)</f>
        <v>92</v>
      </c>
      <c r="H59" s="5">
        <f>ROUND(Table11[[#This Row],[TOTAL]],0)</f>
        <v>96</v>
      </c>
      <c r="I59" s="5">
        <f>Table12[[#This Row],[TOTAL]]</f>
        <v>95.5</v>
      </c>
      <c r="J59" s="5">
        <f>Table1618[[#This Row],[TOTAL]]</f>
        <v>85</v>
      </c>
      <c r="K59" s="5">
        <f>Table16[[#This Row],[TOTAL]]</f>
        <v>93</v>
      </c>
      <c r="L59" s="5">
        <f>Table13[[#This Row],[TOTAL]]</f>
        <v>89</v>
      </c>
      <c r="M59" s="5">
        <v>90.4</v>
      </c>
      <c r="N59" s="5">
        <v>86.8</v>
      </c>
      <c r="O59" s="5">
        <f>ROUND(SUM(DATA[[#This Row],[MATH]:[CA]]),0)</f>
        <v>922</v>
      </c>
      <c r="P59" s="5">
        <f>ROUND(AVERAGE(DATA[[#This Row],[MATH]:[CA]]),0)</f>
        <v>92</v>
      </c>
      <c r="Q59" s="5">
        <f t="shared" ca="1" si="0"/>
        <v>45</v>
      </c>
      <c r="R59" s="5" t="str">
        <f>IF(DATA[[#This Row],[TOTAL (1000)]]&lt;700,"HELP","")</f>
        <v/>
      </c>
      <c r="S59" s="5" t="str">
        <f>IF(DATA[[#This Row],[TOTAL (1000)]]&gt;=700, "PASS","FAIL")</f>
        <v>PASS</v>
      </c>
    </row>
    <row r="60" spans="1:19" ht="15.75" x14ac:dyDescent="0.25">
      <c r="A60" s="5" t="s">
        <v>236</v>
      </c>
      <c r="B60" s="5">
        <v>1</v>
      </c>
      <c r="C60" s="5" t="s">
        <v>47</v>
      </c>
      <c r="D60" s="5">
        <v>2</v>
      </c>
      <c r="E60" s="5">
        <f>MATH!K61</f>
        <v>61</v>
      </c>
      <c r="F60" s="5">
        <f>Table9[[#This Row],[TOTAL]]</f>
        <v>82</v>
      </c>
      <c r="G60" s="5">
        <f>ROUND(Table10[[#This Row],[TOTAL]],0)</f>
        <v>73</v>
      </c>
      <c r="H60" s="5">
        <f>ROUND(Table11[[#This Row],[TOTAL]],0)</f>
        <v>77</v>
      </c>
      <c r="I60" s="5">
        <f>Table12[[#This Row],[TOTAL]]</f>
        <v>85.2</v>
      </c>
      <c r="J60" s="5">
        <f>Table1618[[#This Row],[TOTAL]]</f>
        <v>76</v>
      </c>
      <c r="K60" s="5">
        <f>Table16[[#This Row],[TOTAL]]</f>
        <v>65</v>
      </c>
      <c r="L60" s="5">
        <f>Table13[[#This Row],[TOTAL]]</f>
        <v>72</v>
      </c>
      <c r="M60" s="5">
        <v>62.4</v>
      </c>
      <c r="N60" s="5">
        <v>74.5</v>
      </c>
      <c r="O60" s="5">
        <f>ROUND(SUM(DATA[[#This Row],[MATH]:[CA]]),0)</f>
        <v>728</v>
      </c>
      <c r="P60" s="5">
        <f>ROUND(AVERAGE(DATA[[#This Row],[MATH]:[CA]]),0)</f>
        <v>73</v>
      </c>
      <c r="Q60" s="5">
        <f t="shared" ca="1" si="0"/>
        <v>55</v>
      </c>
      <c r="R60" s="5" t="str">
        <f>IF(DATA[[#This Row],[TOTAL (1000)]]&lt;700,"HELP","")</f>
        <v/>
      </c>
      <c r="S60" s="5" t="str">
        <f>IF(DATA[[#This Row],[TOTAL (1000)]]&gt;=700, "PASS","FAIL")</f>
        <v>PASS</v>
      </c>
    </row>
    <row r="61" spans="1:19" ht="15.75" x14ac:dyDescent="0.25">
      <c r="A61" s="5" t="s">
        <v>237</v>
      </c>
      <c r="B61" s="5">
        <v>1</v>
      </c>
      <c r="C61" s="5" t="s">
        <v>47</v>
      </c>
      <c r="D61" s="5">
        <v>2</v>
      </c>
      <c r="E61" s="5">
        <f>MATH!K62</f>
        <v>75</v>
      </c>
      <c r="F61" s="5">
        <f>Table9[[#This Row],[TOTAL]]</f>
        <v>82</v>
      </c>
      <c r="G61" s="5">
        <f>ROUND(Table10[[#This Row],[TOTAL]],0)</f>
        <v>88</v>
      </c>
      <c r="H61" s="5">
        <f>ROUND(Table11[[#This Row],[TOTAL]],0)</f>
        <v>88</v>
      </c>
      <c r="I61" s="5">
        <f>Table12[[#This Row],[TOTAL]]</f>
        <v>88.3</v>
      </c>
      <c r="J61" s="5">
        <f>Table1618[[#This Row],[TOTAL]]</f>
        <v>74</v>
      </c>
      <c r="K61" s="5">
        <f>Table16[[#This Row],[TOTAL]]</f>
        <v>85.5</v>
      </c>
      <c r="L61" s="5">
        <f>Table13[[#This Row],[TOTAL]]</f>
        <v>77</v>
      </c>
      <c r="M61" s="5">
        <v>86</v>
      </c>
      <c r="N61" s="5">
        <v>80.3</v>
      </c>
      <c r="O61" s="5">
        <f>ROUND(SUM(DATA[[#This Row],[MATH]:[CA]]),0)</f>
        <v>824</v>
      </c>
      <c r="P61" s="5">
        <f>ROUND(AVERAGE(DATA[[#This Row],[MATH]:[CA]]),0)</f>
        <v>82</v>
      </c>
      <c r="Q61" s="5">
        <f t="shared" ca="1" si="0"/>
        <v>41</v>
      </c>
      <c r="R61" s="5" t="str">
        <f>IF(DATA[[#This Row],[TOTAL (1000)]]&lt;700,"HELP","")</f>
        <v/>
      </c>
      <c r="S61" s="5" t="str">
        <f>IF(DATA[[#This Row],[TOTAL (1000)]]&gt;=700, "PASS","FAIL")</f>
        <v>PASS</v>
      </c>
    </row>
    <row r="62" spans="1:19" ht="15.75" x14ac:dyDescent="0.25">
      <c r="A62" s="5" t="s">
        <v>238</v>
      </c>
      <c r="B62" s="5">
        <v>1</v>
      </c>
      <c r="C62" s="5" t="s">
        <v>46</v>
      </c>
      <c r="D62" s="5">
        <v>2</v>
      </c>
      <c r="E62" s="5">
        <f>MATH!K63</f>
        <v>73</v>
      </c>
      <c r="F62" s="5">
        <f>Table9[[#This Row],[TOTAL]]</f>
        <v>77</v>
      </c>
      <c r="G62" s="5">
        <f>ROUND(Table10[[#This Row],[TOTAL]],0)</f>
        <v>74</v>
      </c>
      <c r="H62" s="5">
        <f>ROUND(Table11[[#This Row],[TOTAL]],0)</f>
        <v>81</v>
      </c>
      <c r="I62" s="5">
        <f>Table12[[#This Row],[TOTAL]]</f>
        <v>72</v>
      </c>
      <c r="J62" s="5">
        <f>Table1618[[#This Row],[TOTAL]]</f>
        <v>64</v>
      </c>
      <c r="K62" s="5">
        <f>Table16[[#This Row],[TOTAL]]</f>
        <v>82</v>
      </c>
      <c r="L62" s="5">
        <f>Table13[[#This Row],[TOTAL]]</f>
        <v>77</v>
      </c>
      <c r="M62" s="5">
        <v>82.9</v>
      </c>
      <c r="N62" s="5">
        <v>79.400000000000006</v>
      </c>
      <c r="O62" s="5">
        <f>ROUND(SUM(DATA[[#This Row],[MATH]:[CA]]),0)</f>
        <v>762</v>
      </c>
      <c r="P62" s="5">
        <f>ROUND(AVERAGE(DATA[[#This Row],[MATH]:[CA]]),0)</f>
        <v>76</v>
      </c>
      <c r="Q62" s="5">
        <f t="shared" ca="1" si="0"/>
        <v>55</v>
      </c>
      <c r="R62" s="5" t="str">
        <f>IF(DATA[[#This Row],[TOTAL (1000)]]&lt;700,"HELP","")</f>
        <v/>
      </c>
      <c r="S62" s="5" t="str">
        <f>IF(DATA[[#This Row],[TOTAL (1000)]]&gt;=700, "PASS","FAIL")</f>
        <v>PASS</v>
      </c>
    </row>
    <row r="63" spans="1:19" ht="15.75" x14ac:dyDescent="0.25">
      <c r="A63" s="5" t="s">
        <v>239</v>
      </c>
      <c r="B63" s="5">
        <v>1</v>
      </c>
      <c r="C63" s="5" t="s">
        <v>46</v>
      </c>
      <c r="D63" s="5">
        <v>2</v>
      </c>
      <c r="E63" s="5">
        <f>MATH!K64</f>
        <v>89</v>
      </c>
      <c r="F63" s="5">
        <f>Table9[[#This Row],[TOTAL]]</f>
        <v>96</v>
      </c>
      <c r="G63" s="5">
        <f>ROUND(Table10[[#This Row],[TOTAL]],0)</f>
        <v>92</v>
      </c>
      <c r="H63" s="5">
        <f>ROUND(Table11[[#This Row],[TOTAL]],0)</f>
        <v>95</v>
      </c>
      <c r="I63" s="5">
        <f>Table12[[#This Row],[TOTAL]]</f>
        <v>92.7</v>
      </c>
      <c r="J63" s="5">
        <f>Table1618[[#This Row],[TOTAL]]</f>
        <v>88</v>
      </c>
      <c r="K63" s="5">
        <f>Table16[[#This Row],[TOTAL]]</f>
        <v>94.5</v>
      </c>
      <c r="L63" s="5">
        <f>Table13[[#This Row],[TOTAL]]</f>
        <v>84</v>
      </c>
      <c r="M63" s="5">
        <v>88</v>
      </c>
      <c r="N63" s="5">
        <v>85.8</v>
      </c>
      <c r="O63" s="5">
        <f>ROUND(SUM(DATA[[#This Row],[MATH]:[CA]]),0)</f>
        <v>905</v>
      </c>
      <c r="P63" s="5">
        <f>ROUND(AVERAGE(DATA[[#This Row],[MATH]:[CA]]),0)</f>
        <v>91</v>
      </c>
      <c r="Q63" s="5">
        <f t="shared" ca="1" si="0"/>
        <v>31</v>
      </c>
      <c r="R63" s="5" t="str">
        <f>IF(DATA[[#This Row],[TOTAL (1000)]]&lt;700,"HELP","")</f>
        <v/>
      </c>
      <c r="S63" s="5" t="str">
        <f>IF(DATA[[#This Row],[TOTAL (1000)]]&gt;=700, "PASS","FAIL")</f>
        <v>PASS</v>
      </c>
    </row>
    <row r="64" spans="1:19" ht="15.75" x14ac:dyDescent="0.25">
      <c r="A64" s="5" t="s">
        <v>240</v>
      </c>
      <c r="B64" s="5">
        <v>1</v>
      </c>
      <c r="C64" s="5" t="s">
        <v>47</v>
      </c>
      <c r="D64" s="5">
        <v>2</v>
      </c>
      <c r="E64" s="5">
        <f>MATH!K65</f>
        <v>85</v>
      </c>
      <c r="F64" s="5">
        <f>Table9[[#This Row],[TOTAL]]</f>
        <v>96</v>
      </c>
      <c r="G64" s="5">
        <f>ROUND(Table10[[#This Row],[TOTAL]],0)</f>
        <v>93</v>
      </c>
      <c r="H64" s="5">
        <f>ROUND(Table11[[#This Row],[TOTAL]],0)</f>
        <v>98</v>
      </c>
      <c r="I64" s="5">
        <f>Table12[[#This Row],[TOTAL]]</f>
        <v>96</v>
      </c>
      <c r="J64" s="5">
        <f>Table1618[[#This Row],[TOTAL]]</f>
        <v>62</v>
      </c>
      <c r="K64" s="5">
        <f>Table16[[#This Row],[TOTAL]]</f>
        <v>97.3</v>
      </c>
      <c r="L64" s="5">
        <f>Table13[[#This Row],[TOTAL]]</f>
        <v>86</v>
      </c>
      <c r="M64" s="5">
        <v>70</v>
      </c>
      <c r="N64" s="5">
        <v>92.3</v>
      </c>
      <c r="O64" s="5">
        <f>ROUND(SUM(DATA[[#This Row],[MATH]:[CA]]),0)</f>
        <v>876</v>
      </c>
      <c r="P64" s="5">
        <f>ROUND(AVERAGE(DATA[[#This Row],[MATH]:[CA]]),0)</f>
        <v>88</v>
      </c>
      <c r="Q64" s="5">
        <f t="shared" ca="1" si="0"/>
        <v>45</v>
      </c>
      <c r="R64" s="5" t="str">
        <f>IF(DATA[[#This Row],[TOTAL (1000)]]&lt;700,"HELP","")</f>
        <v/>
      </c>
      <c r="S64" s="5" t="str">
        <f>IF(DATA[[#This Row],[TOTAL (1000)]]&gt;=700, "PASS","FAIL")</f>
        <v>PASS</v>
      </c>
    </row>
    <row r="65" spans="1:19" ht="15.75" x14ac:dyDescent="0.25">
      <c r="A65" s="5" t="s">
        <v>241</v>
      </c>
      <c r="B65" s="5">
        <v>1</v>
      </c>
      <c r="C65" s="5" t="s">
        <v>47</v>
      </c>
      <c r="D65" s="5">
        <v>2</v>
      </c>
      <c r="E65" s="5">
        <f>MATH!K66</f>
        <v>89</v>
      </c>
      <c r="F65" s="5">
        <f>Table9[[#This Row],[TOTAL]]</f>
        <v>89</v>
      </c>
      <c r="G65" s="5">
        <f>ROUND(Table10[[#This Row],[TOTAL]],0)</f>
        <v>86</v>
      </c>
      <c r="H65" s="5">
        <f>ROUND(Table11[[#This Row],[TOTAL]],0)</f>
        <v>91</v>
      </c>
      <c r="I65" s="5">
        <f>Table12[[#This Row],[TOTAL]]</f>
        <v>94.2</v>
      </c>
      <c r="J65" s="5">
        <f>Table1618[[#This Row],[TOTAL]]</f>
        <v>84</v>
      </c>
      <c r="K65" s="5">
        <f>Table16[[#This Row],[TOTAL]]</f>
        <v>86</v>
      </c>
      <c r="L65" s="5">
        <f>Table13[[#This Row],[TOTAL]]</f>
        <v>76</v>
      </c>
      <c r="M65" s="5">
        <v>73.599999999999994</v>
      </c>
      <c r="N65" s="5">
        <v>84</v>
      </c>
      <c r="O65" s="5">
        <f>ROUND(SUM(DATA[[#This Row],[MATH]:[CA]]),0)</f>
        <v>853</v>
      </c>
      <c r="P65" s="5">
        <f>ROUND(AVERAGE(DATA[[#This Row],[MATH]:[CA]]),0)</f>
        <v>85</v>
      </c>
      <c r="Q65" s="5">
        <f t="shared" ca="1" si="0"/>
        <v>48</v>
      </c>
      <c r="R65" s="5" t="str">
        <f>IF(DATA[[#This Row],[TOTAL (1000)]]&lt;700,"HELP","")</f>
        <v/>
      </c>
      <c r="S65" s="5" t="str">
        <f>IF(DATA[[#This Row],[TOTAL (1000)]]&gt;=700, "PASS","FAIL")</f>
        <v>PASS</v>
      </c>
    </row>
    <row r="66" spans="1:19" ht="15.75" x14ac:dyDescent="0.25">
      <c r="A66" s="5" t="s">
        <v>242</v>
      </c>
      <c r="B66" s="5">
        <v>1</v>
      </c>
      <c r="C66" s="5" t="s">
        <v>47</v>
      </c>
      <c r="D66" s="5">
        <v>2</v>
      </c>
      <c r="E66" s="5">
        <f>MATH!K67</f>
        <v>75</v>
      </c>
      <c r="F66" s="5">
        <f>Table9[[#This Row],[TOTAL]]</f>
        <v>75</v>
      </c>
      <c r="G66" s="5">
        <f>ROUND(Table10[[#This Row],[TOTAL]],0)</f>
        <v>75</v>
      </c>
      <c r="H66" s="5">
        <f>ROUND(Table11[[#This Row],[TOTAL]],0)</f>
        <v>88</v>
      </c>
      <c r="I66" s="5">
        <f>Table12[[#This Row],[TOTAL]]</f>
        <v>81.7</v>
      </c>
      <c r="J66" s="5">
        <f>Table1618[[#This Row],[TOTAL]]</f>
        <v>82</v>
      </c>
      <c r="K66" s="5">
        <f>Table16[[#This Row],[TOTAL]]</f>
        <v>68</v>
      </c>
      <c r="L66" s="5">
        <f>Table13[[#This Row],[TOTAL]]</f>
        <v>71</v>
      </c>
      <c r="M66" s="5">
        <v>73.5</v>
      </c>
      <c r="N66" s="5">
        <v>73.3</v>
      </c>
      <c r="O66" s="5">
        <f>ROUND(SUM(DATA[[#This Row],[MATH]:[CA]]),0)</f>
        <v>763</v>
      </c>
      <c r="P66" s="5">
        <f>ROUND(AVERAGE(DATA[[#This Row],[MATH]:[CA]]),0)</f>
        <v>76</v>
      </c>
      <c r="Q66" s="5">
        <f t="shared" ca="1" si="0"/>
        <v>30</v>
      </c>
      <c r="R66" s="5" t="str">
        <f>IF(DATA[[#This Row],[TOTAL (1000)]]&lt;700,"HELP","")</f>
        <v/>
      </c>
      <c r="S66" s="5" t="str">
        <f>IF(DATA[[#This Row],[TOTAL (1000)]]&gt;=700, "PASS","FAIL")</f>
        <v>PASS</v>
      </c>
    </row>
    <row r="67" spans="1:19" ht="15.75" x14ac:dyDescent="0.25">
      <c r="A67" s="5" t="s">
        <v>243</v>
      </c>
      <c r="B67" s="5">
        <v>1</v>
      </c>
      <c r="C67" s="5" t="s">
        <v>47</v>
      </c>
      <c r="D67" s="5">
        <v>2</v>
      </c>
      <c r="E67" s="5">
        <f>MATH!K68</f>
        <v>88</v>
      </c>
      <c r="F67" s="5">
        <f>Table9[[#This Row],[TOTAL]]</f>
        <v>78</v>
      </c>
      <c r="G67" s="5">
        <f>ROUND(Table10[[#This Row],[TOTAL]],0)</f>
        <v>84</v>
      </c>
      <c r="H67" s="5">
        <f>ROUND(Table11[[#This Row],[TOTAL]],0)</f>
        <v>88</v>
      </c>
      <c r="I67" s="5">
        <f>Table12[[#This Row],[TOTAL]]</f>
        <v>87.4</v>
      </c>
      <c r="J67" s="5">
        <f>Table1618[[#This Row],[TOTAL]]</f>
        <v>69</v>
      </c>
      <c r="K67" s="5">
        <f>Table16[[#This Row],[TOTAL]]</f>
        <v>79</v>
      </c>
      <c r="L67" s="5">
        <f>Table13[[#This Row],[TOTAL]]</f>
        <v>78</v>
      </c>
      <c r="M67" s="5">
        <v>88.5</v>
      </c>
      <c r="N67" s="5">
        <v>86.6</v>
      </c>
      <c r="O67" s="5">
        <f>ROUND(SUM(DATA[[#This Row],[MATH]:[CA]]),0)</f>
        <v>827</v>
      </c>
      <c r="P67" s="5">
        <f>ROUND(AVERAGE(DATA[[#This Row],[MATH]:[CA]]),0)</f>
        <v>83</v>
      </c>
      <c r="Q67" s="5">
        <f t="shared" ca="1" si="0"/>
        <v>34</v>
      </c>
      <c r="R67" s="5" t="str">
        <f>IF(DATA[[#This Row],[TOTAL (1000)]]&lt;700,"HELP","")</f>
        <v/>
      </c>
      <c r="S67" s="5" t="str">
        <f>IF(DATA[[#This Row],[TOTAL (1000)]]&gt;=700, "PASS","FAIL")</f>
        <v>PASS</v>
      </c>
    </row>
    <row r="68" spans="1:19" ht="15.75" x14ac:dyDescent="0.25">
      <c r="A68" s="5" t="s">
        <v>244</v>
      </c>
      <c r="B68" s="5">
        <v>1</v>
      </c>
      <c r="C68" s="5" t="s">
        <v>46</v>
      </c>
      <c r="D68" s="5">
        <v>2</v>
      </c>
      <c r="E68" s="5">
        <f>MATH!K69</f>
        <v>69</v>
      </c>
      <c r="F68" s="5">
        <f>Table9[[#This Row],[TOTAL]]</f>
        <v>69</v>
      </c>
      <c r="G68" s="5">
        <f>ROUND(Table10[[#This Row],[TOTAL]],0)</f>
        <v>84</v>
      </c>
      <c r="H68" s="5">
        <f>ROUND(Table11[[#This Row],[TOTAL]],0)</f>
        <v>89</v>
      </c>
      <c r="I68" s="5">
        <f>Table12[[#This Row],[TOTAL]]</f>
        <v>82.6</v>
      </c>
      <c r="J68" s="5">
        <f>Table1618[[#This Row],[TOTAL]]</f>
        <v>67</v>
      </c>
      <c r="K68" s="5">
        <f>Table16[[#This Row],[TOTAL]]</f>
        <v>78</v>
      </c>
      <c r="L68" s="5">
        <f>Table13[[#This Row],[TOTAL]]</f>
        <v>73</v>
      </c>
      <c r="M68" s="5">
        <v>82.9</v>
      </c>
      <c r="N68" s="5">
        <v>79.5</v>
      </c>
      <c r="O68" s="5">
        <f>ROUND(SUM(DATA[[#This Row],[MATH]:[CA]]),0)</f>
        <v>774</v>
      </c>
      <c r="P68" s="5">
        <f>ROUND(AVERAGE(DATA[[#This Row],[MATH]:[CA]]),0)</f>
        <v>77</v>
      </c>
      <c r="Q68" s="5">
        <f t="shared" ca="1" si="0"/>
        <v>59</v>
      </c>
      <c r="R68" s="5" t="str">
        <f>IF(DATA[[#This Row],[TOTAL (1000)]]&lt;700,"HELP","")</f>
        <v/>
      </c>
      <c r="S68" s="5" t="str">
        <f>IF(DATA[[#This Row],[TOTAL (1000)]]&gt;=700, "PASS","FAIL")</f>
        <v>PASS</v>
      </c>
    </row>
    <row r="69" spans="1:19" ht="15.75" x14ac:dyDescent="0.25">
      <c r="A69" s="5" t="s">
        <v>245</v>
      </c>
      <c r="B69" s="5">
        <v>1</v>
      </c>
      <c r="C69" s="5" t="s">
        <v>46</v>
      </c>
      <c r="D69" s="5">
        <v>2</v>
      </c>
      <c r="E69" s="5">
        <f>MATH!K70</f>
        <v>91</v>
      </c>
      <c r="F69" s="5">
        <f>Table9[[#This Row],[TOTAL]]</f>
        <v>91</v>
      </c>
      <c r="G69" s="5">
        <f>ROUND(Table10[[#This Row],[TOTAL]],0)</f>
        <v>92</v>
      </c>
      <c r="H69" s="5">
        <f>ROUND(Table11[[#This Row],[TOTAL]],0)</f>
        <v>90</v>
      </c>
      <c r="I69" s="5">
        <f>Table12[[#This Row],[TOTAL]]</f>
        <v>97.6</v>
      </c>
      <c r="J69" s="5">
        <f>Table1618[[#This Row],[TOTAL]]</f>
        <v>72</v>
      </c>
      <c r="K69" s="5">
        <f>Table16[[#This Row],[TOTAL]]</f>
        <v>82</v>
      </c>
      <c r="L69" s="5">
        <f>Table13[[#This Row],[TOTAL]]</f>
        <v>86</v>
      </c>
      <c r="M69" s="5">
        <v>85.6</v>
      </c>
      <c r="N69" s="5">
        <v>88.3</v>
      </c>
      <c r="O69" s="5">
        <f>ROUND(SUM(DATA[[#This Row],[MATH]:[CA]]),0)</f>
        <v>876</v>
      </c>
      <c r="P69" s="5">
        <f>ROUND(AVERAGE(DATA[[#This Row],[MATH]:[CA]]),0)</f>
        <v>88</v>
      </c>
      <c r="Q69" s="5">
        <f t="shared" ca="1" si="0"/>
        <v>45</v>
      </c>
      <c r="R69" s="5" t="str">
        <f>IF(DATA[[#This Row],[TOTAL (1000)]]&lt;700,"HELP","")</f>
        <v/>
      </c>
      <c r="S69" s="5" t="str">
        <f>IF(DATA[[#This Row],[TOTAL (1000)]]&gt;=700, "PASS","FAIL")</f>
        <v>PASS</v>
      </c>
    </row>
    <row r="70" spans="1:19" ht="15.75" x14ac:dyDescent="0.25">
      <c r="A70" s="5" t="s">
        <v>246</v>
      </c>
      <c r="B70" s="5">
        <v>1</v>
      </c>
      <c r="C70" s="5" t="s">
        <v>47</v>
      </c>
      <c r="D70" s="5">
        <v>2</v>
      </c>
      <c r="E70" s="5">
        <f>MATH!K71</f>
        <v>95</v>
      </c>
      <c r="F70" s="5">
        <f>Table9[[#This Row],[TOTAL]]</f>
        <v>89</v>
      </c>
      <c r="G70" s="5">
        <f>ROUND(Table10[[#This Row],[TOTAL]],0)</f>
        <v>98</v>
      </c>
      <c r="H70" s="5">
        <f>ROUND(Table11[[#This Row],[TOTAL]],0)</f>
        <v>98</v>
      </c>
      <c r="I70" s="5">
        <f>Table12[[#This Row],[TOTAL]]</f>
        <v>98.2</v>
      </c>
      <c r="J70" s="5">
        <f>Table1618[[#This Row],[TOTAL]]</f>
        <v>74</v>
      </c>
      <c r="K70" s="5">
        <f>Table16[[#This Row],[TOTAL]]</f>
        <v>87</v>
      </c>
      <c r="L70" s="5">
        <f>Table13[[#This Row],[TOTAL]]</f>
        <v>96</v>
      </c>
      <c r="M70" s="5">
        <v>91.7</v>
      </c>
      <c r="N70" s="5">
        <v>76.5</v>
      </c>
      <c r="O70" s="5">
        <f>ROUND(SUM(DATA[[#This Row],[MATH]:[CA]]),0)</f>
        <v>903</v>
      </c>
      <c r="P70" s="5">
        <f>ROUND(AVERAGE(DATA[[#This Row],[MATH]:[CA]]),0)</f>
        <v>90</v>
      </c>
      <c r="Q70" s="5">
        <f t="shared" ca="1" si="0"/>
        <v>53</v>
      </c>
      <c r="R70" s="5" t="str">
        <f>IF(DATA[[#This Row],[TOTAL (1000)]]&lt;700,"HELP","")</f>
        <v/>
      </c>
      <c r="S70" s="5" t="str">
        <f>IF(DATA[[#This Row],[TOTAL (1000)]]&gt;=700, "PASS","FAIL")</f>
        <v>PASS</v>
      </c>
    </row>
    <row r="71" spans="1:19" ht="15.75" x14ac:dyDescent="0.25">
      <c r="A71" s="5" t="s">
        <v>247</v>
      </c>
      <c r="B71" s="5">
        <v>1</v>
      </c>
      <c r="C71" s="5" t="s">
        <v>46</v>
      </c>
      <c r="D71" s="5">
        <v>2</v>
      </c>
      <c r="E71" s="5">
        <f>MATH!K72</f>
        <v>92</v>
      </c>
      <c r="F71" s="5">
        <f>Table9[[#This Row],[TOTAL]]</f>
        <v>91</v>
      </c>
      <c r="G71" s="5">
        <f>ROUND(Table10[[#This Row],[TOTAL]],0)</f>
        <v>97</v>
      </c>
      <c r="H71" s="5">
        <f>ROUND(Table11[[#This Row],[TOTAL]],0)</f>
        <v>89</v>
      </c>
      <c r="I71" s="5">
        <f>Table12[[#This Row],[TOTAL]]</f>
        <v>88.9</v>
      </c>
      <c r="J71" s="5">
        <f>Table1618[[#This Row],[TOTAL]]</f>
        <v>81</v>
      </c>
      <c r="K71" s="5">
        <f>Table16[[#This Row],[TOTAL]]</f>
        <v>94</v>
      </c>
      <c r="L71" s="5">
        <f>Table13[[#This Row],[TOTAL]]</f>
        <v>88</v>
      </c>
      <c r="M71" s="5">
        <v>80.7</v>
      </c>
      <c r="N71" s="5">
        <v>85</v>
      </c>
      <c r="O71" s="5">
        <f>ROUND(SUM(DATA[[#This Row],[MATH]:[CA]]),0)</f>
        <v>887</v>
      </c>
      <c r="P71" s="5">
        <f>ROUND(AVERAGE(DATA[[#This Row],[MATH]:[CA]]),0)</f>
        <v>89</v>
      </c>
      <c r="Q71" s="5">
        <f t="shared" ca="1" si="0"/>
        <v>35</v>
      </c>
      <c r="R71" s="5" t="str">
        <f>IF(DATA[[#This Row],[TOTAL (1000)]]&lt;700,"HELP","")</f>
        <v/>
      </c>
      <c r="S71" s="5" t="str">
        <f>IF(DATA[[#This Row],[TOTAL (1000)]]&gt;=700, "PASS","FAIL")</f>
        <v>PASS</v>
      </c>
    </row>
    <row r="72" spans="1:19" ht="15.75" x14ac:dyDescent="0.25">
      <c r="A72" s="5" t="s">
        <v>248</v>
      </c>
      <c r="B72" s="5">
        <v>1</v>
      </c>
      <c r="C72" s="5" t="s">
        <v>46</v>
      </c>
      <c r="D72" s="5">
        <v>2</v>
      </c>
      <c r="E72" s="5">
        <f>MATH!K73</f>
        <v>64</v>
      </c>
      <c r="F72" s="5">
        <f>Table9[[#This Row],[TOTAL]]</f>
        <v>65</v>
      </c>
      <c r="G72" s="5">
        <f>ROUND(Table10[[#This Row],[TOTAL]],0)</f>
        <v>68</v>
      </c>
      <c r="H72" s="5">
        <f>ROUND(Table11[[#This Row],[TOTAL]],0)</f>
        <v>72</v>
      </c>
      <c r="I72" s="5">
        <f>Table12[[#This Row],[TOTAL]]</f>
        <v>68.900000000000006</v>
      </c>
      <c r="J72" s="5">
        <f>Table1618[[#This Row],[TOTAL]]</f>
        <v>59</v>
      </c>
      <c r="K72" s="5">
        <f>Table16[[#This Row],[TOTAL]]</f>
        <v>73.5</v>
      </c>
      <c r="L72" s="5">
        <f>Table13[[#This Row],[TOTAL]]</f>
        <v>66</v>
      </c>
      <c r="M72" s="5">
        <v>67.900000000000006</v>
      </c>
      <c r="N72" s="5">
        <v>74.599999999999994</v>
      </c>
      <c r="O72" s="5">
        <f>ROUND(SUM(DATA[[#This Row],[MATH]:[CA]]),0)</f>
        <v>679</v>
      </c>
      <c r="P72" s="5">
        <f>ROUND(AVERAGE(DATA[[#This Row],[MATH]:[CA]]),0)</f>
        <v>68</v>
      </c>
      <c r="Q72" s="5">
        <f t="shared" ca="1" si="0"/>
        <v>47</v>
      </c>
      <c r="R72" s="5" t="str">
        <f>IF(DATA[[#This Row],[TOTAL (1000)]]&lt;700,"HELP","")</f>
        <v>HELP</v>
      </c>
      <c r="S72" s="5" t="str">
        <f>IF(DATA[[#This Row],[TOTAL (1000)]]&gt;=700, "PASS","FAIL")</f>
        <v>FAIL</v>
      </c>
    </row>
    <row r="73" spans="1:19" ht="15.75" x14ac:dyDescent="0.25">
      <c r="A73" s="5" t="s">
        <v>249</v>
      </c>
      <c r="B73" s="5">
        <v>1</v>
      </c>
      <c r="C73" s="5" t="s">
        <v>46</v>
      </c>
      <c r="D73" s="5">
        <v>2</v>
      </c>
      <c r="E73" s="5">
        <f>MATH!K74</f>
        <v>86</v>
      </c>
      <c r="F73" s="5">
        <f>Table9[[#This Row],[TOTAL]]</f>
        <v>80</v>
      </c>
      <c r="G73" s="5">
        <f>ROUND(Table10[[#This Row],[TOTAL]],0)</f>
        <v>87</v>
      </c>
      <c r="H73" s="5">
        <f>ROUND(Table11[[#This Row],[TOTAL]],0)</f>
        <v>84</v>
      </c>
      <c r="I73" s="5">
        <f>Table12[[#This Row],[TOTAL]]</f>
        <v>86.9</v>
      </c>
      <c r="J73" s="5">
        <f>Table1618[[#This Row],[TOTAL]]</f>
        <v>84</v>
      </c>
      <c r="K73" s="5">
        <f>Table16[[#This Row],[TOTAL]]</f>
        <v>40</v>
      </c>
      <c r="L73" s="5">
        <f>Table13[[#This Row],[TOTAL]]</f>
        <v>82</v>
      </c>
      <c r="M73" s="5">
        <v>80.2</v>
      </c>
      <c r="N73" s="5">
        <v>81.8</v>
      </c>
      <c r="O73" s="5">
        <f>ROUND(SUM(DATA[[#This Row],[MATH]:[CA]]),0)</f>
        <v>792</v>
      </c>
      <c r="P73" s="5">
        <f>ROUND(AVERAGE(DATA[[#This Row],[MATH]:[CA]]),0)</f>
        <v>79</v>
      </c>
      <c r="Q73" s="5">
        <f t="shared" ca="1" si="0"/>
        <v>52</v>
      </c>
      <c r="R73" s="5" t="str">
        <f>IF(DATA[[#This Row],[TOTAL (1000)]]&lt;700,"HELP","")</f>
        <v/>
      </c>
      <c r="S73" s="5" t="str">
        <f>IF(DATA[[#This Row],[TOTAL (1000)]]&gt;=700, "PASS","FAIL")</f>
        <v>PASS</v>
      </c>
    </row>
    <row r="74" spans="1:19" ht="15.75" x14ac:dyDescent="0.25">
      <c r="A74" s="5" t="s">
        <v>250</v>
      </c>
      <c r="B74" s="5">
        <v>1</v>
      </c>
      <c r="C74" s="5" t="s">
        <v>47</v>
      </c>
      <c r="D74" s="5">
        <v>2</v>
      </c>
      <c r="E74" s="5">
        <f>MATH!K75</f>
        <v>71</v>
      </c>
      <c r="F74" s="5">
        <f>Table9[[#This Row],[TOTAL]]</f>
        <v>77</v>
      </c>
      <c r="G74" s="5">
        <f>ROUND(Table10[[#This Row],[TOTAL]],0)</f>
        <v>81</v>
      </c>
      <c r="H74" s="5">
        <f>ROUND(Table11[[#This Row],[TOTAL]],0)</f>
        <v>86</v>
      </c>
      <c r="I74" s="5">
        <f>Table12[[#This Row],[TOTAL]]</f>
        <v>79.599999999999994</v>
      </c>
      <c r="J74" s="5">
        <f>Table1618[[#This Row],[TOTAL]]</f>
        <v>73</v>
      </c>
      <c r="K74" s="5">
        <f>Table16[[#This Row],[TOTAL]]</f>
        <v>88</v>
      </c>
      <c r="L74" s="5">
        <f>Table13[[#This Row],[TOTAL]]</f>
        <v>69</v>
      </c>
      <c r="M74" s="5">
        <v>72.900000000000006</v>
      </c>
      <c r="N74" s="5">
        <v>76.599999999999994</v>
      </c>
      <c r="O74" s="5">
        <f>ROUND(SUM(DATA[[#This Row],[MATH]:[CA]]),0)</f>
        <v>774</v>
      </c>
      <c r="P74" s="5">
        <f>ROUND(AVERAGE(DATA[[#This Row],[MATH]:[CA]]),0)</f>
        <v>77</v>
      </c>
      <c r="Q74" s="5">
        <f t="shared" ca="1" si="0"/>
        <v>56</v>
      </c>
      <c r="R74" s="5" t="str">
        <f>IF(DATA[[#This Row],[TOTAL (1000)]]&lt;700,"HELP","")</f>
        <v/>
      </c>
      <c r="S74" s="5" t="str">
        <f>IF(DATA[[#This Row],[TOTAL (1000)]]&gt;=700, "PASS","FAIL")</f>
        <v>PASS</v>
      </c>
    </row>
    <row r="75" spans="1:19" ht="15.75" x14ac:dyDescent="0.25">
      <c r="A75" s="5" t="s">
        <v>251</v>
      </c>
      <c r="B75" s="5">
        <v>1</v>
      </c>
      <c r="C75" s="5" t="s">
        <v>46</v>
      </c>
      <c r="D75" s="5">
        <v>2</v>
      </c>
      <c r="E75" s="5">
        <f>MATH!K76</f>
        <v>86</v>
      </c>
      <c r="F75" s="5">
        <f>Table9[[#This Row],[TOTAL]]</f>
        <v>95</v>
      </c>
      <c r="G75" s="5">
        <f>ROUND(Table10[[#This Row],[TOTAL]],0)</f>
        <v>87</v>
      </c>
      <c r="H75" s="5">
        <f>ROUND(Table11[[#This Row],[TOTAL]],0)</f>
        <v>95</v>
      </c>
      <c r="I75" s="5">
        <f>Table12[[#This Row],[TOTAL]]</f>
        <v>96</v>
      </c>
      <c r="J75" s="5">
        <f>Table1618[[#This Row],[TOTAL]]</f>
        <v>75</v>
      </c>
      <c r="K75" s="5">
        <f>Table16[[#This Row],[TOTAL]]</f>
        <v>96</v>
      </c>
      <c r="L75" s="5">
        <f>Table13[[#This Row],[TOTAL]]</f>
        <v>88</v>
      </c>
      <c r="M75" s="5">
        <v>88.4</v>
      </c>
      <c r="N75" s="5">
        <v>92.8</v>
      </c>
      <c r="O75" s="5">
        <f>ROUND(SUM(DATA[[#This Row],[MATH]:[CA]]),0)</f>
        <v>899</v>
      </c>
      <c r="P75" s="5">
        <f>ROUND(AVERAGE(DATA[[#This Row],[MATH]:[CA]]),0)</f>
        <v>90</v>
      </c>
      <c r="Q75" s="5">
        <f t="shared" ca="1" si="0"/>
        <v>41</v>
      </c>
      <c r="R75" s="5" t="str">
        <f>IF(DATA[[#This Row],[TOTAL (1000)]]&lt;700,"HELP","")</f>
        <v/>
      </c>
      <c r="S75" s="5" t="str">
        <f>IF(DATA[[#This Row],[TOTAL (1000)]]&gt;=700, "PASS","FAIL")</f>
        <v>PASS</v>
      </c>
    </row>
    <row r="76" spans="1:19" ht="15.75" x14ac:dyDescent="0.25">
      <c r="A76" s="5" t="s">
        <v>252</v>
      </c>
      <c r="B76" s="5">
        <v>1</v>
      </c>
      <c r="C76" s="5" t="s">
        <v>46</v>
      </c>
      <c r="D76" s="5">
        <v>2</v>
      </c>
      <c r="E76" s="5">
        <f>MATH!K77</f>
        <v>89</v>
      </c>
      <c r="F76" s="5">
        <f>Table9[[#This Row],[TOTAL]]</f>
        <v>81</v>
      </c>
      <c r="G76" s="5">
        <f>ROUND(Table10[[#This Row],[TOTAL]],0)</f>
        <v>92</v>
      </c>
      <c r="H76" s="5">
        <f>ROUND(Table11[[#This Row],[TOTAL]],0)</f>
        <v>93</v>
      </c>
      <c r="I76" s="5">
        <f>Table12[[#This Row],[TOTAL]]</f>
        <v>93.4</v>
      </c>
      <c r="J76" s="5">
        <f>Table1618[[#This Row],[TOTAL]]</f>
        <v>81</v>
      </c>
      <c r="K76" s="5">
        <f>Table16[[#This Row],[TOTAL]]</f>
        <v>98</v>
      </c>
      <c r="L76" s="5">
        <f>Table13[[#This Row],[TOTAL]]</f>
        <v>86</v>
      </c>
      <c r="M76" s="5">
        <v>89</v>
      </c>
      <c r="N76" s="5">
        <v>78.3</v>
      </c>
      <c r="O76" s="5">
        <f>ROUND(SUM(DATA[[#This Row],[MATH]:[CA]]),0)</f>
        <v>881</v>
      </c>
      <c r="P76" s="5">
        <f>ROUND(AVERAGE(DATA[[#This Row],[MATH]:[CA]]),0)</f>
        <v>88</v>
      </c>
      <c r="Q76" s="5">
        <f t="shared" ca="1" si="0"/>
        <v>32</v>
      </c>
      <c r="R76" s="5" t="str">
        <f>IF(DATA[[#This Row],[TOTAL (1000)]]&lt;700,"HELP","")</f>
        <v/>
      </c>
      <c r="S76" s="5" t="str">
        <f>IF(DATA[[#This Row],[TOTAL (1000)]]&gt;=700, "PASS","FAIL")</f>
        <v>PASS</v>
      </c>
    </row>
    <row r="77" spans="1:19" ht="15.75" x14ac:dyDescent="0.25">
      <c r="A77" s="5" t="s">
        <v>253</v>
      </c>
      <c r="B77" s="5">
        <v>1</v>
      </c>
      <c r="C77" s="5" t="s">
        <v>46</v>
      </c>
      <c r="D77" s="5">
        <v>2</v>
      </c>
      <c r="E77" s="5">
        <f>MATH!K78</f>
        <v>99</v>
      </c>
      <c r="F77" s="5">
        <f>Table9[[#This Row],[TOTAL]]</f>
        <v>96</v>
      </c>
      <c r="G77" s="5">
        <f>ROUND(Table10[[#This Row],[TOTAL]],0)</f>
        <v>97</v>
      </c>
      <c r="H77" s="5">
        <f>ROUND(Table11[[#This Row],[TOTAL]],0)</f>
        <v>99</v>
      </c>
      <c r="I77" s="5">
        <f>Table12[[#This Row],[TOTAL]]</f>
        <v>98.5</v>
      </c>
      <c r="J77" s="5">
        <f>Table1618[[#This Row],[TOTAL]]</f>
        <v>95</v>
      </c>
      <c r="K77" s="5">
        <f>Table16[[#This Row],[TOTAL]]</f>
        <v>97.5</v>
      </c>
      <c r="L77" s="5">
        <f>Table13[[#This Row],[TOTAL]]</f>
        <v>96</v>
      </c>
      <c r="M77" s="5">
        <v>91.9</v>
      </c>
      <c r="N77" s="5">
        <v>94.8</v>
      </c>
      <c r="O77" s="5">
        <f>ROUND(SUM(DATA[[#This Row],[MATH]:[CA]]),0)</f>
        <v>965</v>
      </c>
      <c r="P77" s="5">
        <f>ROUND(AVERAGE(DATA[[#This Row],[MATH]:[CA]]),0)</f>
        <v>96</v>
      </c>
      <c r="Q77" s="5">
        <f t="shared" ca="1" si="0"/>
        <v>35</v>
      </c>
      <c r="R77" s="5" t="str">
        <f>IF(DATA[[#This Row],[TOTAL (1000)]]&lt;700,"HELP","")</f>
        <v/>
      </c>
      <c r="S77" s="5" t="str">
        <f>IF(DATA[[#This Row],[TOTAL (1000)]]&gt;=700, "PASS","FAIL")</f>
        <v>PASS</v>
      </c>
    </row>
    <row r="78" spans="1:19" ht="15.75" x14ac:dyDescent="0.25">
      <c r="A78" s="5" t="s">
        <v>254</v>
      </c>
      <c r="B78" s="5">
        <v>1</v>
      </c>
      <c r="C78" s="5" t="s">
        <v>47</v>
      </c>
      <c r="D78" s="5">
        <v>2</v>
      </c>
      <c r="E78" s="5">
        <f>MATH!K79</f>
        <v>91</v>
      </c>
      <c r="F78" s="5">
        <f>Table9[[#This Row],[TOTAL]]</f>
        <v>94</v>
      </c>
      <c r="G78" s="5">
        <f>ROUND(Table10[[#This Row],[TOTAL]],0)</f>
        <v>95</v>
      </c>
      <c r="H78" s="5">
        <f>ROUND(Table11[[#This Row],[TOTAL]],0)</f>
        <v>95</v>
      </c>
      <c r="I78" s="5">
        <f>Table12[[#This Row],[TOTAL]]</f>
        <v>98</v>
      </c>
      <c r="J78" s="5">
        <f>Table1618[[#This Row],[TOTAL]]</f>
        <v>80</v>
      </c>
      <c r="K78" s="5">
        <f>Table16[[#This Row],[TOTAL]]</f>
        <v>93.5</v>
      </c>
      <c r="L78" s="5">
        <f>Table13[[#This Row],[TOTAL]]</f>
        <v>91</v>
      </c>
      <c r="M78" s="5">
        <v>94.1</v>
      </c>
      <c r="N78" s="5">
        <v>89.7</v>
      </c>
      <c r="O78" s="5">
        <f>ROUND(SUM(DATA[[#This Row],[MATH]:[CA]]),0)</f>
        <v>921</v>
      </c>
      <c r="P78" s="5">
        <f>ROUND(AVERAGE(DATA[[#This Row],[MATH]:[CA]]),0)</f>
        <v>92</v>
      </c>
      <c r="Q78" s="5">
        <f t="shared" ca="1" si="0"/>
        <v>49</v>
      </c>
      <c r="R78" s="5" t="str">
        <f>IF(DATA[[#This Row],[TOTAL (1000)]]&lt;700,"HELP","")</f>
        <v/>
      </c>
      <c r="S78" s="5" t="str">
        <f>IF(DATA[[#This Row],[TOTAL (1000)]]&gt;=700, "PASS","FAIL")</f>
        <v>PASS</v>
      </c>
    </row>
    <row r="79" spans="1:19" ht="15.75" x14ac:dyDescent="0.25">
      <c r="A79" s="5" t="s">
        <v>255</v>
      </c>
      <c r="B79" s="5">
        <v>1</v>
      </c>
      <c r="C79" s="5" t="s">
        <v>47</v>
      </c>
      <c r="D79" s="5">
        <v>2</v>
      </c>
      <c r="E79" s="5">
        <f>MATH!K80</f>
        <v>60</v>
      </c>
      <c r="F79" s="5">
        <f>Table9[[#This Row],[TOTAL]]</f>
        <v>77</v>
      </c>
      <c r="G79" s="5">
        <f>ROUND(Table10[[#This Row],[TOTAL]],0)</f>
        <v>73</v>
      </c>
      <c r="H79" s="5">
        <f>ROUND(Table11[[#This Row],[TOTAL]],0)</f>
        <v>78</v>
      </c>
      <c r="I79" s="5">
        <f>Table12[[#This Row],[TOTAL]]</f>
        <v>79.8</v>
      </c>
      <c r="J79" s="5">
        <f>Table1618[[#This Row],[TOTAL]]</f>
        <v>54</v>
      </c>
      <c r="K79" s="5">
        <f>Table16[[#This Row],[TOTAL]]</f>
        <v>63</v>
      </c>
      <c r="L79" s="5">
        <f>Table13[[#This Row],[TOTAL]]</f>
        <v>69</v>
      </c>
      <c r="M79" s="5">
        <v>64.599999999999994</v>
      </c>
      <c r="N79" s="5">
        <v>71.099999999999994</v>
      </c>
      <c r="O79" s="5">
        <f>ROUND(SUM(DATA[[#This Row],[MATH]:[CA]]),0)</f>
        <v>690</v>
      </c>
      <c r="P79" s="5">
        <f>ROUND(AVERAGE(DATA[[#This Row],[MATH]:[CA]]),0)</f>
        <v>69</v>
      </c>
      <c r="Q79" s="5">
        <f t="shared" ca="1" si="0"/>
        <v>53</v>
      </c>
      <c r="R79" s="5" t="str">
        <f>IF(DATA[[#This Row],[TOTAL (1000)]]&lt;700,"HELP","")</f>
        <v>HELP</v>
      </c>
      <c r="S79" s="5" t="str">
        <f>IF(DATA[[#This Row],[TOTAL (1000)]]&gt;=700, "PASS","FAIL")</f>
        <v>FAIL</v>
      </c>
    </row>
    <row r="80" spans="1:19" ht="15.75" x14ac:dyDescent="0.25">
      <c r="A80" s="5" t="s">
        <v>256</v>
      </c>
      <c r="B80" s="5">
        <v>1</v>
      </c>
      <c r="C80" s="5" t="s">
        <v>47</v>
      </c>
      <c r="D80" s="5">
        <v>2</v>
      </c>
      <c r="E80" s="5">
        <f>MATH!K81</f>
        <v>98</v>
      </c>
      <c r="F80" s="5">
        <f>Table9[[#This Row],[TOTAL]]</f>
        <v>94</v>
      </c>
      <c r="G80" s="5">
        <f>ROUND(Table10[[#This Row],[TOTAL]],0)</f>
        <v>95</v>
      </c>
      <c r="H80" s="5">
        <f>ROUND(Table11[[#This Row],[TOTAL]],0)</f>
        <v>98</v>
      </c>
      <c r="I80" s="5">
        <f>Table12[[#This Row],[TOTAL]]</f>
        <v>99.2</v>
      </c>
      <c r="J80" s="5">
        <f>Table1618[[#This Row],[TOTAL]]</f>
        <v>81</v>
      </c>
      <c r="K80" s="5">
        <f>Table16[[#This Row],[TOTAL]]</f>
        <v>93.5</v>
      </c>
      <c r="L80" s="5">
        <f>Table13[[#This Row],[TOTAL]]</f>
        <v>91</v>
      </c>
      <c r="M80" s="5">
        <v>91.9</v>
      </c>
      <c r="N80" s="5">
        <v>94.6</v>
      </c>
      <c r="O80" s="5">
        <f>ROUND(SUM(DATA[[#This Row],[MATH]:[CA]]),0)</f>
        <v>936</v>
      </c>
      <c r="P80" s="5">
        <f>ROUND(AVERAGE(DATA[[#This Row],[MATH]:[CA]]),0)</f>
        <v>94</v>
      </c>
      <c r="Q80" s="5">
        <f t="shared" ca="1" si="0"/>
        <v>44</v>
      </c>
      <c r="R80" s="5" t="str">
        <f>IF(DATA[[#This Row],[TOTAL (1000)]]&lt;700,"HELP","")</f>
        <v/>
      </c>
      <c r="S80" s="5" t="str">
        <f>IF(DATA[[#This Row],[TOTAL (1000)]]&gt;=700, "PASS","FAIL")</f>
        <v>PASS</v>
      </c>
    </row>
  </sheetData>
  <phoneticPr fontId="9"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DBE39-C213-47D8-881E-464F557FACB4}">
  <dimension ref="B2:G7"/>
  <sheetViews>
    <sheetView tabSelected="1" workbookViewId="0">
      <selection activeCell="C7" sqref="C7"/>
    </sheetView>
  </sheetViews>
  <sheetFormatPr defaultRowHeight="15" x14ac:dyDescent="0.25"/>
  <cols>
    <col min="2" max="2" width="11.28515625" bestFit="1" customWidth="1"/>
    <col min="3" max="3" width="28.28515625" bestFit="1" customWidth="1"/>
    <col min="6" max="6" width="14.85546875" bestFit="1" customWidth="1"/>
    <col min="7" max="7" width="23" bestFit="1" customWidth="1"/>
  </cols>
  <sheetData>
    <row r="2" spans="2:7" x14ac:dyDescent="0.25">
      <c r="B2" s="68" t="s">
        <v>258</v>
      </c>
      <c r="C2" s="68"/>
      <c r="D2" s="68"/>
      <c r="E2" s="68"/>
      <c r="F2" s="68"/>
    </row>
    <row r="3" spans="2:7" x14ac:dyDescent="0.25">
      <c r="B3" t="s">
        <v>259</v>
      </c>
      <c r="C3" s="69">
        <f ca="1">TODAY()</f>
        <v>45700</v>
      </c>
      <c r="F3" t="s">
        <v>260</v>
      </c>
      <c r="G3" s="69">
        <f ca="1">TODAY()+45</f>
        <v>45745</v>
      </c>
    </row>
    <row r="5" spans="2:7" x14ac:dyDescent="0.25">
      <c r="B5" t="s">
        <v>261</v>
      </c>
    </row>
    <row r="7" spans="2:7" x14ac:dyDescent="0.25">
      <c r="B7" t="s">
        <v>262</v>
      </c>
    </row>
  </sheetData>
  <mergeCells count="1">
    <mergeCell ref="B2:F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2:P81"/>
  <sheetViews>
    <sheetView topLeftCell="A5" workbookViewId="0">
      <selection activeCell="A31" sqref="A31:XFD31"/>
    </sheetView>
  </sheetViews>
  <sheetFormatPr defaultRowHeight="15" x14ac:dyDescent="0.25"/>
  <cols>
    <col min="1" max="1" width="36.140625" customWidth="1"/>
    <col min="3" max="3" width="10.28515625" bestFit="1" customWidth="1"/>
    <col min="4" max="4" width="11.5703125" customWidth="1"/>
    <col min="5" max="5" width="16.42578125" customWidth="1"/>
    <col min="6" max="6" width="17.42578125" customWidth="1"/>
    <col min="7" max="8" width="15.5703125" customWidth="1"/>
    <col min="9" max="9" width="14.42578125" customWidth="1"/>
    <col min="10" max="10" width="19.140625" customWidth="1"/>
    <col min="13" max="13" width="10.28515625" customWidth="1"/>
    <col min="16" max="16" width="15.140625" customWidth="1"/>
  </cols>
  <sheetData>
    <row r="2" spans="1:16" x14ac:dyDescent="0.25">
      <c r="D2" s="1"/>
      <c r="E2" s="1"/>
      <c r="F2" s="1"/>
      <c r="G2" s="1"/>
      <c r="H2" s="1"/>
      <c r="I2" s="1"/>
      <c r="J2" s="1"/>
    </row>
    <row r="3" spans="1:16" x14ac:dyDescent="0.25">
      <c r="A3" t="s">
        <v>0</v>
      </c>
      <c r="B3" t="s">
        <v>1</v>
      </c>
      <c r="C3" t="s">
        <v>48</v>
      </c>
      <c r="D3" t="s">
        <v>3</v>
      </c>
      <c r="E3" t="s">
        <v>49</v>
      </c>
      <c r="F3" t="s">
        <v>50</v>
      </c>
      <c r="G3" t="s">
        <v>51</v>
      </c>
      <c r="H3" t="s">
        <v>52</v>
      </c>
      <c r="I3" t="s">
        <v>2</v>
      </c>
      <c r="J3" t="s">
        <v>4</v>
      </c>
      <c r="K3" t="s">
        <v>5</v>
      </c>
      <c r="M3" t="s">
        <v>84</v>
      </c>
      <c r="N3" t="s">
        <v>36</v>
      </c>
      <c r="O3" t="s">
        <v>37</v>
      </c>
      <c r="P3" t="s">
        <v>38</v>
      </c>
    </row>
    <row r="4" spans="1:16" x14ac:dyDescent="0.25">
      <c r="A4" t="s">
        <v>20</v>
      </c>
      <c r="B4">
        <v>100</v>
      </c>
      <c r="C4">
        <f>B4*20%</f>
        <v>20</v>
      </c>
      <c r="D4">
        <v>100</v>
      </c>
      <c r="E4">
        <f>D4*20%</f>
        <v>20</v>
      </c>
      <c r="F4">
        <v>100</v>
      </c>
      <c r="G4">
        <f>F4*10%</f>
        <v>10</v>
      </c>
      <c r="H4">
        <f>C4+E4+G4</f>
        <v>50</v>
      </c>
      <c r="I4">
        <v>95</v>
      </c>
      <c r="J4">
        <f>I4*50%</f>
        <v>47.5</v>
      </c>
      <c r="K4">
        <f t="shared" ref="K4:K35" si="0">ROUND(H4+J4,0)</f>
        <v>98</v>
      </c>
      <c r="M4" t="s">
        <v>33</v>
      </c>
      <c r="N4">
        <f>AVERAGE(B4:B81)</f>
        <v>87.961538461538467</v>
      </c>
      <c r="O4">
        <f>AVERAGE(D4:D81)</f>
        <v>85.192307692307693</v>
      </c>
      <c r="P4">
        <f>AVERAGE(I4:I81)</f>
        <v>81.692307692307693</v>
      </c>
    </row>
    <row r="5" spans="1:16" x14ac:dyDescent="0.25">
      <c r="A5" t="s">
        <v>18</v>
      </c>
      <c r="B5">
        <v>90</v>
      </c>
      <c r="C5">
        <f t="shared" ref="C5:C30" si="1">B5*20%</f>
        <v>18</v>
      </c>
      <c r="D5">
        <v>72</v>
      </c>
      <c r="E5">
        <f t="shared" ref="E5:E30" si="2">D5*20%</f>
        <v>14.4</v>
      </c>
      <c r="F5">
        <v>100</v>
      </c>
      <c r="G5">
        <f>F5*10%</f>
        <v>10</v>
      </c>
      <c r="H5">
        <f t="shared" ref="H5:H30" si="3">C5+E5+G5</f>
        <v>42.4</v>
      </c>
      <c r="I5">
        <v>74</v>
      </c>
      <c r="J5">
        <f t="shared" ref="J5:J30" si="4">I5*50%</f>
        <v>37</v>
      </c>
      <c r="K5">
        <f t="shared" si="0"/>
        <v>79</v>
      </c>
      <c r="M5" t="s">
        <v>34</v>
      </c>
      <c r="N5">
        <f>MAX(B4:B81)</f>
        <v>100</v>
      </c>
      <c r="O5">
        <f>MAX(D4:D81)</f>
        <v>100</v>
      </c>
      <c r="P5">
        <f>MAX(I4:I81)</f>
        <v>99</v>
      </c>
    </row>
    <row r="6" spans="1:16" x14ac:dyDescent="0.25">
      <c r="A6" t="s">
        <v>32</v>
      </c>
      <c r="B6">
        <v>95</v>
      </c>
      <c r="C6">
        <f t="shared" si="1"/>
        <v>19</v>
      </c>
      <c r="D6">
        <v>84</v>
      </c>
      <c r="E6">
        <f t="shared" si="2"/>
        <v>16.8</v>
      </c>
      <c r="F6">
        <v>100</v>
      </c>
      <c r="G6">
        <f t="shared" ref="G6:G30" si="5">F6*10%</f>
        <v>10</v>
      </c>
      <c r="H6">
        <f t="shared" si="3"/>
        <v>45.8</v>
      </c>
      <c r="I6">
        <v>88</v>
      </c>
      <c r="J6">
        <f t="shared" si="4"/>
        <v>44</v>
      </c>
      <c r="K6">
        <f t="shared" si="0"/>
        <v>90</v>
      </c>
      <c r="M6" t="s">
        <v>35</v>
      </c>
      <c r="N6">
        <f>MIN(B4:B81)</f>
        <v>40</v>
      </c>
      <c r="O6">
        <f>MIN(D4:D81)</f>
        <v>55</v>
      </c>
      <c r="P6">
        <f>MIN(J4:J81)</f>
        <v>25.5</v>
      </c>
    </row>
    <row r="7" spans="1:16" x14ac:dyDescent="0.25">
      <c r="A7" t="s">
        <v>7</v>
      </c>
      <c r="B7">
        <v>75</v>
      </c>
      <c r="C7">
        <f t="shared" si="1"/>
        <v>15</v>
      </c>
      <c r="D7">
        <v>75</v>
      </c>
      <c r="E7">
        <f t="shared" si="2"/>
        <v>15</v>
      </c>
      <c r="F7">
        <v>100</v>
      </c>
      <c r="G7">
        <f t="shared" si="5"/>
        <v>10</v>
      </c>
      <c r="H7">
        <f t="shared" si="3"/>
        <v>40</v>
      </c>
      <c r="I7">
        <v>86</v>
      </c>
      <c r="J7">
        <f t="shared" si="4"/>
        <v>43</v>
      </c>
      <c r="K7">
        <f t="shared" si="0"/>
        <v>83</v>
      </c>
    </row>
    <row r="8" spans="1:16" x14ac:dyDescent="0.25">
      <c r="A8" t="s">
        <v>19</v>
      </c>
      <c r="B8">
        <v>90</v>
      </c>
      <c r="C8">
        <f t="shared" si="1"/>
        <v>18</v>
      </c>
      <c r="D8">
        <v>85</v>
      </c>
      <c r="E8">
        <f t="shared" si="2"/>
        <v>17</v>
      </c>
      <c r="F8">
        <v>100</v>
      </c>
      <c r="G8">
        <f t="shared" si="5"/>
        <v>10</v>
      </c>
      <c r="H8">
        <f t="shared" si="3"/>
        <v>45</v>
      </c>
      <c r="I8">
        <v>76</v>
      </c>
      <c r="J8">
        <f t="shared" si="4"/>
        <v>38</v>
      </c>
      <c r="K8">
        <f t="shared" si="0"/>
        <v>83</v>
      </c>
    </row>
    <row r="9" spans="1:16" x14ac:dyDescent="0.25">
      <c r="A9" t="s">
        <v>9</v>
      </c>
      <c r="B9">
        <v>90</v>
      </c>
      <c r="C9">
        <f t="shared" si="1"/>
        <v>18</v>
      </c>
      <c r="D9">
        <v>84</v>
      </c>
      <c r="E9">
        <f t="shared" si="2"/>
        <v>16.8</v>
      </c>
      <c r="F9">
        <v>100</v>
      </c>
      <c r="G9">
        <f t="shared" si="5"/>
        <v>10</v>
      </c>
      <c r="H9">
        <f t="shared" si="3"/>
        <v>44.8</v>
      </c>
      <c r="I9">
        <v>84</v>
      </c>
      <c r="J9">
        <f t="shared" si="4"/>
        <v>42</v>
      </c>
      <c r="K9">
        <f t="shared" si="0"/>
        <v>87</v>
      </c>
    </row>
    <row r="10" spans="1:16" x14ac:dyDescent="0.25">
      <c r="A10" t="s">
        <v>21</v>
      </c>
      <c r="B10">
        <v>100</v>
      </c>
      <c r="C10">
        <f t="shared" si="1"/>
        <v>20</v>
      </c>
      <c r="D10">
        <v>100</v>
      </c>
      <c r="E10">
        <f t="shared" si="2"/>
        <v>20</v>
      </c>
      <c r="F10">
        <v>100</v>
      </c>
      <c r="G10">
        <f t="shared" si="5"/>
        <v>10</v>
      </c>
      <c r="H10">
        <f t="shared" si="3"/>
        <v>50</v>
      </c>
      <c r="I10">
        <v>93</v>
      </c>
      <c r="J10">
        <f t="shared" si="4"/>
        <v>46.5</v>
      </c>
      <c r="K10">
        <f t="shared" si="0"/>
        <v>97</v>
      </c>
    </row>
    <row r="11" spans="1:16" x14ac:dyDescent="0.25">
      <c r="A11" t="s">
        <v>8</v>
      </c>
      <c r="B11">
        <v>90</v>
      </c>
      <c r="C11">
        <f t="shared" si="1"/>
        <v>18</v>
      </c>
      <c r="D11">
        <v>70</v>
      </c>
      <c r="E11">
        <f t="shared" si="2"/>
        <v>14</v>
      </c>
      <c r="F11">
        <v>100</v>
      </c>
      <c r="G11">
        <f t="shared" si="5"/>
        <v>10</v>
      </c>
      <c r="H11">
        <f t="shared" si="3"/>
        <v>42</v>
      </c>
      <c r="I11">
        <v>80</v>
      </c>
      <c r="J11">
        <f t="shared" si="4"/>
        <v>40</v>
      </c>
      <c r="K11">
        <f t="shared" si="0"/>
        <v>82</v>
      </c>
    </row>
    <row r="12" spans="1:16" x14ac:dyDescent="0.25">
      <c r="A12" t="s">
        <v>10</v>
      </c>
      <c r="B12">
        <v>100</v>
      </c>
      <c r="C12">
        <f t="shared" si="1"/>
        <v>20</v>
      </c>
      <c r="D12">
        <v>90</v>
      </c>
      <c r="E12">
        <f t="shared" si="2"/>
        <v>18</v>
      </c>
      <c r="F12">
        <v>100</v>
      </c>
      <c r="G12">
        <f t="shared" si="5"/>
        <v>10</v>
      </c>
      <c r="H12">
        <f t="shared" si="3"/>
        <v>48</v>
      </c>
      <c r="I12">
        <v>97</v>
      </c>
      <c r="J12">
        <f t="shared" si="4"/>
        <v>48.5</v>
      </c>
      <c r="K12">
        <f t="shared" si="0"/>
        <v>97</v>
      </c>
    </row>
    <row r="13" spans="1:16" x14ac:dyDescent="0.25">
      <c r="A13" t="s">
        <v>6</v>
      </c>
      <c r="B13">
        <v>70</v>
      </c>
      <c r="C13">
        <f t="shared" si="1"/>
        <v>14</v>
      </c>
      <c r="D13">
        <v>86</v>
      </c>
      <c r="E13">
        <f t="shared" si="2"/>
        <v>17.2</v>
      </c>
      <c r="F13">
        <v>100</v>
      </c>
      <c r="G13">
        <f t="shared" si="5"/>
        <v>10</v>
      </c>
      <c r="H13">
        <f t="shared" si="3"/>
        <v>41.2</v>
      </c>
      <c r="I13">
        <v>93</v>
      </c>
      <c r="J13">
        <f t="shared" si="4"/>
        <v>46.5</v>
      </c>
      <c r="K13">
        <f t="shared" si="0"/>
        <v>88</v>
      </c>
    </row>
    <row r="14" spans="1:16" x14ac:dyDescent="0.25">
      <c r="A14" t="s">
        <v>17</v>
      </c>
      <c r="B14">
        <v>75</v>
      </c>
      <c r="C14">
        <f t="shared" si="1"/>
        <v>15</v>
      </c>
      <c r="D14">
        <v>80</v>
      </c>
      <c r="E14">
        <f t="shared" si="2"/>
        <v>16</v>
      </c>
      <c r="F14">
        <v>100</v>
      </c>
      <c r="G14">
        <f t="shared" si="5"/>
        <v>10</v>
      </c>
      <c r="H14">
        <f t="shared" si="3"/>
        <v>41</v>
      </c>
      <c r="I14">
        <v>87</v>
      </c>
      <c r="J14">
        <f t="shared" si="4"/>
        <v>43.5</v>
      </c>
      <c r="K14">
        <f t="shared" si="0"/>
        <v>85</v>
      </c>
    </row>
    <row r="15" spans="1:16" x14ac:dyDescent="0.25">
      <c r="A15" t="s">
        <v>22</v>
      </c>
      <c r="B15">
        <v>70</v>
      </c>
      <c r="C15">
        <f t="shared" si="1"/>
        <v>14</v>
      </c>
      <c r="D15">
        <v>88</v>
      </c>
      <c r="E15">
        <f t="shared" si="2"/>
        <v>17.600000000000001</v>
      </c>
      <c r="F15">
        <v>100</v>
      </c>
      <c r="G15">
        <f t="shared" si="5"/>
        <v>10</v>
      </c>
      <c r="H15">
        <f t="shared" si="3"/>
        <v>41.6</v>
      </c>
      <c r="I15">
        <v>89</v>
      </c>
      <c r="J15">
        <f t="shared" si="4"/>
        <v>44.5</v>
      </c>
      <c r="K15">
        <f t="shared" si="0"/>
        <v>86</v>
      </c>
    </row>
    <row r="16" spans="1:16" x14ac:dyDescent="0.25">
      <c r="A16" t="s">
        <v>11</v>
      </c>
      <c r="B16">
        <v>95</v>
      </c>
      <c r="C16">
        <f t="shared" si="1"/>
        <v>19</v>
      </c>
      <c r="D16">
        <v>94</v>
      </c>
      <c r="E16">
        <f t="shared" si="2"/>
        <v>18.8</v>
      </c>
      <c r="F16">
        <v>100</v>
      </c>
      <c r="G16">
        <f t="shared" si="5"/>
        <v>10</v>
      </c>
      <c r="H16">
        <f t="shared" si="3"/>
        <v>47.8</v>
      </c>
      <c r="I16">
        <v>97</v>
      </c>
      <c r="J16">
        <f t="shared" si="4"/>
        <v>48.5</v>
      </c>
      <c r="K16">
        <f t="shared" si="0"/>
        <v>96</v>
      </c>
    </row>
    <row r="17" spans="1:11" x14ac:dyDescent="0.25">
      <c r="A17" t="s">
        <v>23</v>
      </c>
      <c r="B17">
        <v>95</v>
      </c>
      <c r="C17">
        <f t="shared" si="1"/>
        <v>19</v>
      </c>
      <c r="D17">
        <v>80</v>
      </c>
      <c r="E17">
        <f t="shared" si="2"/>
        <v>16</v>
      </c>
      <c r="F17">
        <v>100</v>
      </c>
      <c r="G17">
        <f t="shared" si="5"/>
        <v>10</v>
      </c>
      <c r="H17">
        <f t="shared" si="3"/>
        <v>45</v>
      </c>
      <c r="I17">
        <v>85</v>
      </c>
      <c r="J17">
        <f t="shared" si="4"/>
        <v>42.5</v>
      </c>
      <c r="K17">
        <f t="shared" si="0"/>
        <v>88</v>
      </c>
    </row>
    <row r="18" spans="1:11" x14ac:dyDescent="0.25">
      <c r="A18" t="s">
        <v>12</v>
      </c>
      <c r="B18">
        <v>90</v>
      </c>
      <c r="C18">
        <f t="shared" si="1"/>
        <v>18</v>
      </c>
      <c r="D18">
        <v>70</v>
      </c>
      <c r="E18">
        <f t="shared" si="2"/>
        <v>14</v>
      </c>
      <c r="F18">
        <v>100</v>
      </c>
      <c r="G18">
        <f t="shared" si="5"/>
        <v>10</v>
      </c>
      <c r="H18">
        <f t="shared" si="3"/>
        <v>42</v>
      </c>
      <c r="I18">
        <v>79</v>
      </c>
      <c r="J18">
        <f t="shared" si="4"/>
        <v>39.5</v>
      </c>
      <c r="K18">
        <f t="shared" si="0"/>
        <v>82</v>
      </c>
    </row>
    <row r="19" spans="1:11" x14ac:dyDescent="0.25">
      <c r="A19" t="s">
        <v>13</v>
      </c>
      <c r="B19">
        <v>80</v>
      </c>
      <c r="C19">
        <f t="shared" si="1"/>
        <v>16</v>
      </c>
      <c r="D19">
        <v>55</v>
      </c>
      <c r="E19">
        <f t="shared" si="2"/>
        <v>11</v>
      </c>
      <c r="F19">
        <v>100</v>
      </c>
      <c r="G19">
        <f t="shared" si="5"/>
        <v>10</v>
      </c>
      <c r="H19">
        <f t="shared" si="3"/>
        <v>37</v>
      </c>
      <c r="I19">
        <v>86</v>
      </c>
      <c r="J19">
        <f t="shared" si="4"/>
        <v>43</v>
      </c>
      <c r="K19">
        <f t="shared" si="0"/>
        <v>80</v>
      </c>
    </row>
    <row r="20" spans="1:11" x14ac:dyDescent="0.25">
      <c r="A20" t="s">
        <v>27</v>
      </c>
      <c r="B20">
        <v>90</v>
      </c>
      <c r="C20">
        <f t="shared" si="1"/>
        <v>18</v>
      </c>
      <c r="D20">
        <v>70</v>
      </c>
      <c r="E20">
        <f t="shared" si="2"/>
        <v>14</v>
      </c>
      <c r="F20">
        <v>100</v>
      </c>
      <c r="G20">
        <f t="shared" si="5"/>
        <v>10</v>
      </c>
      <c r="H20">
        <f t="shared" si="3"/>
        <v>42</v>
      </c>
      <c r="I20">
        <v>73</v>
      </c>
      <c r="J20">
        <f t="shared" si="4"/>
        <v>36.5</v>
      </c>
      <c r="K20">
        <f t="shared" si="0"/>
        <v>79</v>
      </c>
    </row>
    <row r="21" spans="1:11" x14ac:dyDescent="0.25">
      <c r="A21" t="s">
        <v>24</v>
      </c>
      <c r="B21">
        <v>95</v>
      </c>
      <c r="C21">
        <f t="shared" si="1"/>
        <v>19</v>
      </c>
      <c r="D21">
        <v>90</v>
      </c>
      <c r="E21">
        <f t="shared" si="2"/>
        <v>18</v>
      </c>
      <c r="F21">
        <v>100</v>
      </c>
      <c r="G21">
        <f t="shared" si="5"/>
        <v>10</v>
      </c>
      <c r="H21">
        <f t="shared" si="3"/>
        <v>47</v>
      </c>
      <c r="I21">
        <v>78</v>
      </c>
      <c r="J21">
        <f t="shared" si="4"/>
        <v>39</v>
      </c>
      <c r="K21">
        <f t="shared" si="0"/>
        <v>86</v>
      </c>
    </row>
    <row r="22" spans="1:11" x14ac:dyDescent="0.25">
      <c r="A22" t="s">
        <v>26</v>
      </c>
      <c r="B22">
        <v>95</v>
      </c>
      <c r="C22">
        <f t="shared" si="1"/>
        <v>19</v>
      </c>
      <c r="D22">
        <v>100</v>
      </c>
      <c r="E22">
        <f t="shared" si="2"/>
        <v>20</v>
      </c>
      <c r="F22">
        <v>100</v>
      </c>
      <c r="G22">
        <f t="shared" si="5"/>
        <v>10</v>
      </c>
      <c r="H22">
        <f t="shared" si="3"/>
        <v>49</v>
      </c>
      <c r="I22">
        <v>95</v>
      </c>
      <c r="J22">
        <f t="shared" si="4"/>
        <v>47.5</v>
      </c>
      <c r="K22">
        <f t="shared" si="0"/>
        <v>97</v>
      </c>
    </row>
    <row r="23" spans="1:11" x14ac:dyDescent="0.25">
      <c r="A23" t="s">
        <v>28</v>
      </c>
      <c r="B23">
        <v>85</v>
      </c>
      <c r="C23">
        <f t="shared" si="1"/>
        <v>17</v>
      </c>
      <c r="D23">
        <v>85</v>
      </c>
      <c r="E23">
        <f t="shared" si="2"/>
        <v>17</v>
      </c>
      <c r="F23">
        <v>100</v>
      </c>
      <c r="G23">
        <f t="shared" si="5"/>
        <v>10</v>
      </c>
      <c r="H23">
        <f t="shared" si="3"/>
        <v>44</v>
      </c>
      <c r="I23">
        <v>82</v>
      </c>
      <c r="J23">
        <f t="shared" si="4"/>
        <v>41</v>
      </c>
      <c r="K23">
        <f t="shared" si="0"/>
        <v>85</v>
      </c>
    </row>
    <row r="24" spans="1:11" x14ac:dyDescent="0.25">
      <c r="A24" t="s">
        <v>25</v>
      </c>
      <c r="B24">
        <v>80</v>
      </c>
      <c r="C24">
        <f t="shared" si="1"/>
        <v>16</v>
      </c>
      <c r="D24">
        <v>81</v>
      </c>
      <c r="E24">
        <f t="shared" si="2"/>
        <v>16.2</v>
      </c>
      <c r="F24">
        <v>100</v>
      </c>
      <c r="G24">
        <f t="shared" si="5"/>
        <v>10</v>
      </c>
      <c r="H24">
        <f t="shared" si="3"/>
        <v>42.2</v>
      </c>
      <c r="I24">
        <v>71</v>
      </c>
      <c r="J24">
        <f t="shared" si="4"/>
        <v>35.5</v>
      </c>
      <c r="K24">
        <f t="shared" si="0"/>
        <v>78</v>
      </c>
    </row>
    <row r="25" spans="1:11" x14ac:dyDescent="0.25">
      <c r="A25" t="s">
        <v>31</v>
      </c>
      <c r="B25">
        <v>100</v>
      </c>
      <c r="C25">
        <f t="shared" si="1"/>
        <v>20</v>
      </c>
      <c r="D25">
        <v>85</v>
      </c>
      <c r="E25">
        <f t="shared" si="2"/>
        <v>17</v>
      </c>
      <c r="F25">
        <v>100</v>
      </c>
      <c r="G25">
        <f t="shared" si="5"/>
        <v>10</v>
      </c>
      <c r="H25">
        <f t="shared" si="3"/>
        <v>47</v>
      </c>
      <c r="I25">
        <v>92</v>
      </c>
      <c r="J25">
        <f t="shared" si="4"/>
        <v>46</v>
      </c>
      <c r="K25">
        <f t="shared" si="0"/>
        <v>93</v>
      </c>
    </row>
    <row r="26" spans="1:11" x14ac:dyDescent="0.25">
      <c r="A26" t="s">
        <v>14</v>
      </c>
      <c r="B26">
        <v>80</v>
      </c>
      <c r="C26">
        <f t="shared" si="1"/>
        <v>16</v>
      </c>
      <c r="D26">
        <v>64</v>
      </c>
      <c r="E26">
        <f t="shared" si="2"/>
        <v>12.8</v>
      </c>
      <c r="F26">
        <v>100</v>
      </c>
      <c r="G26">
        <f t="shared" si="5"/>
        <v>10</v>
      </c>
      <c r="H26">
        <f t="shared" si="3"/>
        <v>38.799999999999997</v>
      </c>
      <c r="I26">
        <v>90</v>
      </c>
      <c r="J26">
        <f t="shared" si="4"/>
        <v>45</v>
      </c>
      <c r="K26">
        <f t="shared" si="0"/>
        <v>84</v>
      </c>
    </row>
    <row r="27" spans="1:11" x14ac:dyDescent="0.25">
      <c r="A27" t="s">
        <v>16</v>
      </c>
      <c r="B27">
        <v>80</v>
      </c>
      <c r="C27">
        <f t="shared" si="1"/>
        <v>16</v>
      </c>
      <c r="D27">
        <v>100</v>
      </c>
      <c r="E27">
        <f t="shared" si="2"/>
        <v>20</v>
      </c>
      <c r="F27">
        <v>100</v>
      </c>
      <c r="G27">
        <f t="shared" si="5"/>
        <v>10</v>
      </c>
      <c r="H27">
        <f t="shared" si="3"/>
        <v>46</v>
      </c>
      <c r="I27">
        <v>97</v>
      </c>
      <c r="J27">
        <f t="shared" si="4"/>
        <v>48.5</v>
      </c>
      <c r="K27">
        <f t="shared" si="0"/>
        <v>95</v>
      </c>
    </row>
    <row r="28" spans="1:11" x14ac:dyDescent="0.25">
      <c r="A28" t="s">
        <v>29</v>
      </c>
      <c r="B28">
        <v>90</v>
      </c>
      <c r="C28">
        <f t="shared" si="1"/>
        <v>18</v>
      </c>
      <c r="D28">
        <v>85</v>
      </c>
      <c r="E28">
        <f t="shared" si="2"/>
        <v>17</v>
      </c>
      <c r="F28">
        <v>100</v>
      </c>
      <c r="G28">
        <f t="shared" si="5"/>
        <v>10</v>
      </c>
      <c r="H28">
        <f t="shared" si="3"/>
        <v>45</v>
      </c>
      <c r="I28">
        <v>86</v>
      </c>
      <c r="J28">
        <f t="shared" si="4"/>
        <v>43</v>
      </c>
      <c r="K28">
        <f t="shared" si="0"/>
        <v>88</v>
      </c>
    </row>
    <row r="29" spans="1:11" x14ac:dyDescent="0.25">
      <c r="A29" t="s">
        <v>15</v>
      </c>
      <c r="B29">
        <v>90</v>
      </c>
      <c r="C29">
        <f t="shared" si="1"/>
        <v>18</v>
      </c>
      <c r="D29">
        <v>80</v>
      </c>
      <c r="E29">
        <f t="shared" si="2"/>
        <v>16</v>
      </c>
      <c r="F29">
        <v>100</v>
      </c>
      <c r="G29">
        <f t="shared" si="5"/>
        <v>10</v>
      </c>
      <c r="H29">
        <f t="shared" si="3"/>
        <v>44</v>
      </c>
      <c r="I29">
        <v>96</v>
      </c>
      <c r="J29">
        <f t="shared" si="4"/>
        <v>48</v>
      </c>
      <c r="K29">
        <f t="shared" si="0"/>
        <v>92</v>
      </c>
    </row>
    <row r="30" spans="1:11" x14ac:dyDescent="0.25">
      <c r="A30" t="s">
        <v>30</v>
      </c>
      <c r="B30">
        <v>70</v>
      </c>
      <c r="C30">
        <f t="shared" si="1"/>
        <v>14</v>
      </c>
      <c r="D30">
        <v>80</v>
      </c>
      <c r="E30">
        <f t="shared" si="2"/>
        <v>16</v>
      </c>
      <c r="F30">
        <v>100</v>
      </c>
      <c r="G30">
        <f t="shared" si="5"/>
        <v>10</v>
      </c>
      <c r="H30">
        <f t="shared" si="3"/>
        <v>40</v>
      </c>
      <c r="I30">
        <v>88</v>
      </c>
      <c r="J30">
        <f t="shared" si="4"/>
        <v>44</v>
      </c>
      <c r="K30">
        <f t="shared" si="0"/>
        <v>84</v>
      </c>
    </row>
    <row r="31" spans="1:11" x14ac:dyDescent="0.25">
      <c r="A31" t="s">
        <v>145</v>
      </c>
      <c r="B31">
        <v>89</v>
      </c>
      <c r="C31">
        <f>B31*20%</f>
        <v>17.8</v>
      </c>
      <c r="D31">
        <v>90</v>
      </c>
      <c r="E31">
        <f>D31*20%</f>
        <v>18</v>
      </c>
      <c r="F31">
        <v>98</v>
      </c>
      <c r="G31">
        <f>F31*10%</f>
        <v>9.8000000000000007</v>
      </c>
      <c r="H31">
        <f>C31+E31+G31</f>
        <v>45.599999999999994</v>
      </c>
      <c r="I31">
        <v>66</v>
      </c>
      <c r="J31">
        <f>I31*50%</f>
        <v>33</v>
      </c>
      <c r="K31">
        <f t="shared" si="0"/>
        <v>79</v>
      </c>
    </row>
    <row r="32" spans="1:11" x14ac:dyDescent="0.25">
      <c r="A32" s="22" t="s">
        <v>88</v>
      </c>
      <c r="B32">
        <v>85</v>
      </c>
      <c r="C32">
        <f>B32*20%</f>
        <v>17</v>
      </c>
      <c r="D32">
        <v>88</v>
      </c>
      <c r="E32">
        <f>D32*20%</f>
        <v>17.600000000000001</v>
      </c>
      <c r="F32">
        <v>90</v>
      </c>
      <c r="G32">
        <f>F32*10%</f>
        <v>9</v>
      </c>
      <c r="H32">
        <f>C32+E32+G32</f>
        <v>43.6</v>
      </c>
      <c r="I32">
        <v>61</v>
      </c>
      <c r="J32">
        <f>I32*50%</f>
        <v>30.5</v>
      </c>
      <c r="K32">
        <f t="shared" si="0"/>
        <v>74</v>
      </c>
    </row>
    <row r="33" spans="1:11" x14ac:dyDescent="0.25">
      <c r="A33" s="22" t="s">
        <v>89</v>
      </c>
      <c r="B33">
        <v>74</v>
      </c>
      <c r="C33">
        <f>B33*20%</f>
        <v>14.8</v>
      </c>
      <c r="D33">
        <v>69</v>
      </c>
      <c r="E33">
        <f>D33*20%</f>
        <v>13.8</v>
      </c>
      <c r="F33">
        <v>86</v>
      </c>
      <c r="G33">
        <f>F33*10%</f>
        <v>8.6</v>
      </c>
      <c r="H33">
        <f>C33+E33+G33</f>
        <v>37.200000000000003</v>
      </c>
      <c r="I33">
        <v>73</v>
      </c>
      <c r="J33">
        <f>I33*50%</f>
        <v>36.5</v>
      </c>
      <c r="K33">
        <f t="shared" si="0"/>
        <v>74</v>
      </c>
    </row>
    <row r="34" spans="1:11" x14ac:dyDescent="0.25">
      <c r="A34" s="22" t="s">
        <v>90</v>
      </c>
      <c r="B34">
        <v>98</v>
      </c>
      <c r="C34">
        <f t="shared" ref="C34:C81" si="6">B34*20%</f>
        <v>19.600000000000001</v>
      </c>
      <c r="D34">
        <v>100</v>
      </c>
      <c r="E34">
        <f t="shared" ref="E34:E81" si="7">D34*20%</f>
        <v>20</v>
      </c>
      <c r="F34">
        <v>100</v>
      </c>
      <c r="G34">
        <f t="shared" ref="G34:G81" si="8">F34*10%</f>
        <v>10</v>
      </c>
      <c r="H34">
        <f t="shared" ref="H34:H81" si="9">C34+E34+G34</f>
        <v>49.6</v>
      </c>
      <c r="I34">
        <v>78</v>
      </c>
      <c r="J34">
        <f t="shared" ref="J34:J81" si="10">I34*50%</f>
        <v>39</v>
      </c>
      <c r="K34">
        <f t="shared" si="0"/>
        <v>89</v>
      </c>
    </row>
    <row r="35" spans="1:11" x14ac:dyDescent="0.25">
      <c r="A35" s="22" t="s">
        <v>91</v>
      </c>
      <c r="B35">
        <v>93</v>
      </c>
      <c r="C35">
        <f t="shared" si="6"/>
        <v>18.600000000000001</v>
      </c>
      <c r="D35">
        <v>96</v>
      </c>
      <c r="E35">
        <f t="shared" si="7"/>
        <v>19.200000000000003</v>
      </c>
      <c r="F35">
        <v>94</v>
      </c>
      <c r="G35">
        <f t="shared" si="8"/>
        <v>9.4</v>
      </c>
      <c r="H35">
        <f t="shared" si="9"/>
        <v>47.2</v>
      </c>
      <c r="I35">
        <v>76</v>
      </c>
      <c r="J35">
        <f t="shared" si="10"/>
        <v>38</v>
      </c>
      <c r="K35">
        <f t="shared" si="0"/>
        <v>85</v>
      </c>
    </row>
    <row r="36" spans="1:11" x14ac:dyDescent="0.25">
      <c r="A36" s="22" t="s">
        <v>92</v>
      </c>
      <c r="B36">
        <v>95</v>
      </c>
      <c r="C36">
        <f t="shared" si="6"/>
        <v>19</v>
      </c>
      <c r="D36">
        <v>81</v>
      </c>
      <c r="E36">
        <f t="shared" si="7"/>
        <v>16.2</v>
      </c>
      <c r="F36">
        <v>95</v>
      </c>
      <c r="G36">
        <f t="shared" si="8"/>
        <v>9.5</v>
      </c>
      <c r="H36">
        <f t="shared" si="9"/>
        <v>44.7</v>
      </c>
      <c r="I36">
        <v>83</v>
      </c>
      <c r="J36">
        <f t="shared" si="10"/>
        <v>41.5</v>
      </c>
      <c r="K36">
        <f t="shared" ref="K36:K67" si="11">ROUND(H36+J36,0)</f>
        <v>86</v>
      </c>
    </row>
    <row r="37" spans="1:11" x14ac:dyDescent="0.25">
      <c r="A37" s="22" t="s">
        <v>93</v>
      </c>
      <c r="B37">
        <v>98</v>
      </c>
      <c r="C37">
        <f t="shared" si="6"/>
        <v>19.600000000000001</v>
      </c>
      <c r="D37">
        <v>100</v>
      </c>
      <c r="E37">
        <f t="shared" si="7"/>
        <v>20</v>
      </c>
      <c r="F37">
        <v>100</v>
      </c>
      <c r="G37">
        <f t="shared" si="8"/>
        <v>10</v>
      </c>
      <c r="H37">
        <f t="shared" si="9"/>
        <v>49.6</v>
      </c>
      <c r="I37">
        <v>92</v>
      </c>
      <c r="J37">
        <f t="shared" si="10"/>
        <v>46</v>
      </c>
      <c r="K37">
        <f t="shared" si="11"/>
        <v>96</v>
      </c>
    </row>
    <row r="38" spans="1:11" x14ac:dyDescent="0.25">
      <c r="A38" s="22" t="s">
        <v>94</v>
      </c>
      <c r="B38">
        <v>96</v>
      </c>
      <c r="C38">
        <f t="shared" si="6"/>
        <v>19.200000000000003</v>
      </c>
      <c r="D38">
        <v>92</v>
      </c>
      <c r="E38">
        <f t="shared" si="7"/>
        <v>18.400000000000002</v>
      </c>
      <c r="F38">
        <v>98</v>
      </c>
      <c r="G38">
        <f t="shared" si="8"/>
        <v>9.8000000000000007</v>
      </c>
      <c r="H38">
        <f t="shared" si="9"/>
        <v>47.400000000000006</v>
      </c>
      <c r="I38">
        <v>79</v>
      </c>
      <c r="J38">
        <f t="shared" si="10"/>
        <v>39.5</v>
      </c>
      <c r="K38">
        <f t="shared" si="11"/>
        <v>87</v>
      </c>
    </row>
    <row r="39" spans="1:11" x14ac:dyDescent="0.25">
      <c r="A39" s="22" t="s">
        <v>95</v>
      </c>
      <c r="B39">
        <v>89</v>
      </c>
      <c r="C39">
        <f t="shared" si="6"/>
        <v>17.8</v>
      </c>
      <c r="D39">
        <v>92</v>
      </c>
      <c r="E39">
        <f t="shared" si="7"/>
        <v>18.400000000000002</v>
      </c>
      <c r="F39">
        <v>97</v>
      </c>
      <c r="G39">
        <f t="shared" si="8"/>
        <v>9.7000000000000011</v>
      </c>
      <c r="H39">
        <f t="shared" si="9"/>
        <v>45.900000000000006</v>
      </c>
      <c r="I39">
        <v>68</v>
      </c>
      <c r="J39">
        <f t="shared" si="10"/>
        <v>34</v>
      </c>
      <c r="K39">
        <f t="shared" si="11"/>
        <v>80</v>
      </c>
    </row>
    <row r="40" spans="1:11" x14ac:dyDescent="0.25">
      <c r="A40" s="22" t="s">
        <v>96</v>
      </c>
      <c r="B40">
        <v>89</v>
      </c>
      <c r="C40">
        <f t="shared" si="6"/>
        <v>17.8</v>
      </c>
      <c r="D40">
        <v>91</v>
      </c>
      <c r="E40">
        <f t="shared" si="7"/>
        <v>18.2</v>
      </c>
      <c r="F40">
        <v>87</v>
      </c>
      <c r="G40">
        <f t="shared" si="8"/>
        <v>8.7000000000000011</v>
      </c>
      <c r="H40">
        <f t="shared" si="9"/>
        <v>44.7</v>
      </c>
      <c r="I40">
        <v>73</v>
      </c>
      <c r="J40">
        <f t="shared" si="10"/>
        <v>36.5</v>
      </c>
      <c r="K40">
        <f t="shared" si="11"/>
        <v>81</v>
      </c>
    </row>
    <row r="41" spans="1:11" x14ac:dyDescent="0.25">
      <c r="A41" s="22" t="s">
        <v>97</v>
      </c>
      <c r="B41">
        <v>98</v>
      </c>
      <c r="C41">
        <f t="shared" si="6"/>
        <v>19.600000000000001</v>
      </c>
      <c r="D41">
        <v>100</v>
      </c>
      <c r="E41">
        <f t="shared" si="7"/>
        <v>20</v>
      </c>
      <c r="F41">
        <v>100</v>
      </c>
      <c r="G41">
        <f t="shared" si="8"/>
        <v>10</v>
      </c>
      <c r="H41">
        <f t="shared" si="9"/>
        <v>49.6</v>
      </c>
      <c r="I41">
        <v>90</v>
      </c>
      <c r="J41">
        <f t="shared" si="10"/>
        <v>45</v>
      </c>
      <c r="K41">
        <f t="shared" si="11"/>
        <v>95</v>
      </c>
    </row>
    <row r="42" spans="1:11" x14ac:dyDescent="0.25">
      <c r="A42" s="22" t="s">
        <v>98</v>
      </c>
      <c r="B42">
        <v>93</v>
      </c>
      <c r="C42">
        <f t="shared" si="6"/>
        <v>18.600000000000001</v>
      </c>
      <c r="D42">
        <v>96</v>
      </c>
      <c r="E42">
        <f t="shared" si="7"/>
        <v>19.200000000000003</v>
      </c>
      <c r="F42">
        <v>97</v>
      </c>
      <c r="G42">
        <f t="shared" si="8"/>
        <v>9.7000000000000011</v>
      </c>
      <c r="H42">
        <f t="shared" si="9"/>
        <v>47.500000000000007</v>
      </c>
      <c r="I42">
        <v>65</v>
      </c>
      <c r="J42">
        <f t="shared" si="10"/>
        <v>32.5</v>
      </c>
      <c r="K42">
        <f t="shared" si="11"/>
        <v>80</v>
      </c>
    </row>
    <row r="43" spans="1:11" x14ac:dyDescent="0.25">
      <c r="A43" s="22" t="s">
        <v>99</v>
      </c>
      <c r="B43">
        <v>100</v>
      </c>
      <c r="C43">
        <f t="shared" si="6"/>
        <v>20</v>
      </c>
      <c r="D43">
        <v>92</v>
      </c>
      <c r="E43">
        <f t="shared" si="7"/>
        <v>18.400000000000002</v>
      </c>
      <c r="F43">
        <v>100</v>
      </c>
      <c r="G43">
        <f t="shared" si="8"/>
        <v>10</v>
      </c>
      <c r="H43">
        <f t="shared" si="9"/>
        <v>48.400000000000006</v>
      </c>
      <c r="I43">
        <v>96</v>
      </c>
      <c r="J43">
        <f t="shared" si="10"/>
        <v>48</v>
      </c>
      <c r="K43">
        <f t="shared" si="11"/>
        <v>96</v>
      </c>
    </row>
    <row r="44" spans="1:11" x14ac:dyDescent="0.25">
      <c r="A44" s="22" t="s">
        <v>100</v>
      </c>
      <c r="B44">
        <v>100</v>
      </c>
      <c r="C44">
        <f t="shared" si="6"/>
        <v>20</v>
      </c>
      <c r="D44">
        <v>100</v>
      </c>
      <c r="E44">
        <f t="shared" si="7"/>
        <v>20</v>
      </c>
      <c r="F44">
        <v>92</v>
      </c>
      <c r="G44">
        <f t="shared" si="8"/>
        <v>9.2000000000000011</v>
      </c>
      <c r="H44">
        <f t="shared" si="9"/>
        <v>49.2</v>
      </c>
      <c r="I44">
        <v>92</v>
      </c>
      <c r="J44">
        <f t="shared" si="10"/>
        <v>46</v>
      </c>
      <c r="K44">
        <f t="shared" si="11"/>
        <v>95</v>
      </c>
    </row>
    <row r="45" spans="1:11" x14ac:dyDescent="0.25">
      <c r="A45" s="22" t="s">
        <v>101</v>
      </c>
      <c r="B45">
        <v>100</v>
      </c>
      <c r="C45">
        <f t="shared" si="6"/>
        <v>20</v>
      </c>
      <c r="D45">
        <v>96</v>
      </c>
      <c r="E45">
        <f t="shared" si="7"/>
        <v>19.200000000000003</v>
      </c>
      <c r="F45">
        <v>100</v>
      </c>
      <c r="G45">
        <f t="shared" si="8"/>
        <v>10</v>
      </c>
      <c r="H45">
        <f t="shared" si="9"/>
        <v>49.2</v>
      </c>
      <c r="I45">
        <v>98</v>
      </c>
      <c r="J45">
        <f t="shared" si="10"/>
        <v>49</v>
      </c>
      <c r="K45">
        <f t="shared" si="11"/>
        <v>98</v>
      </c>
    </row>
    <row r="46" spans="1:11" x14ac:dyDescent="0.25">
      <c r="A46" s="22" t="s">
        <v>102</v>
      </c>
      <c r="B46">
        <v>95</v>
      </c>
      <c r="C46">
        <f t="shared" si="6"/>
        <v>19</v>
      </c>
      <c r="D46">
        <v>72</v>
      </c>
      <c r="E46">
        <f t="shared" si="7"/>
        <v>14.4</v>
      </c>
      <c r="F46">
        <v>98</v>
      </c>
      <c r="G46">
        <f t="shared" si="8"/>
        <v>9.8000000000000007</v>
      </c>
      <c r="H46">
        <f t="shared" si="9"/>
        <v>43.2</v>
      </c>
      <c r="I46">
        <v>92</v>
      </c>
      <c r="J46">
        <f t="shared" si="10"/>
        <v>46</v>
      </c>
      <c r="K46">
        <f t="shared" si="11"/>
        <v>89</v>
      </c>
    </row>
    <row r="47" spans="1:11" x14ac:dyDescent="0.25">
      <c r="A47" s="22" t="s">
        <v>103</v>
      </c>
      <c r="B47">
        <v>92</v>
      </c>
      <c r="C47">
        <f t="shared" si="6"/>
        <v>18.400000000000002</v>
      </c>
      <c r="D47">
        <v>98</v>
      </c>
      <c r="E47">
        <f t="shared" si="7"/>
        <v>19.600000000000001</v>
      </c>
      <c r="F47">
        <v>85</v>
      </c>
      <c r="G47">
        <f t="shared" si="8"/>
        <v>8.5</v>
      </c>
      <c r="H47">
        <f t="shared" si="9"/>
        <v>46.5</v>
      </c>
      <c r="I47">
        <v>66</v>
      </c>
      <c r="J47">
        <f t="shared" si="10"/>
        <v>33</v>
      </c>
      <c r="K47">
        <f t="shared" si="11"/>
        <v>80</v>
      </c>
    </row>
    <row r="48" spans="1:11" x14ac:dyDescent="0.25">
      <c r="A48" s="22" t="s">
        <v>104</v>
      </c>
      <c r="B48">
        <v>72</v>
      </c>
      <c r="C48">
        <f t="shared" si="6"/>
        <v>14.4</v>
      </c>
      <c r="D48">
        <v>72</v>
      </c>
      <c r="E48">
        <f t="shared" si="7"/>
        <v>14.4</v>
      </c>
      <c r="F48">
        <v>84</v>
      </c>
      <c r="G48">
        <f t="shared" si="8"/>
        <v>8.4</v>
      </c>
      <c r="H48">
        <f t="shared" si="9"/>
        <v>37.200000000000003</v>
      </c>
      <c r="I48">
        <v>69</v>
      </c>
      <c r="J48">
        <f t="shared" si="10"/>
        <v>34.5</v>
      </c>
      <c r="K48">
        <f t="shared" si="11"/>
        <v>72</v>
      </c>
    </row>
    <row r="49" spans="1:12" x14ac:dyDescent="0.25">
      <c r="A49" s="22" t="s">
        <v>105</v>
      </c>
      <c r="B49">
        <v>97</v>
      </c>
      <c r="C49">
        <f t="shared" si="6"/>
        <v>19.400000000000002</v>
      </c>
      <c r="D49">
        <v>97</v>
      </c>
      <c r="E49">
        <f t="shared" si="7"/>
        <v>19.400000000000002</v>
      </c>
      <c r="F49">
        <v>89</v>
      </c>
      <c r="G49">
        <f t="shared" si="8"/>
        <v>8.9</v>
      </c>
      <c r="H49">
        <f t="shared" si="9"/>
        <v>47.7</v>
      </c>
      <c r="I49">
        <v>84</v>
      </c>
      <c r="J49">
        <f t="shared" si="10"/>
        <v>42</v>
      </c>
      <c r="K49">
        <f t="shared" si="11"/>
        <v>90</v>
      </c>
    </row>
    <row r="50" spans="1:12" x14ac:dyDescent="0.25">
      <c r="A50" s="22" t="s">
        <v>106</v>
      </c>
      <c r="B50">
        <v>100</v>
      </c>
      <c r="C50">
        <f t="shared" si="6"/>
        <v>20</v>
      </c>
      <c r="D50">
        <v>100</v>
      </c>
      <c r="E50">
        <f t="shared" si="7"/>
        <v>20</v>
      </c>
      <c r="F50">
        <v>100</v>
      </c>
      <c r="G50">
        <f t="shared" si="8"/>
        <v>10</v>
      </c>
      <c r="H50">
        <f t="shared" si="9"/>
        <v>50</v>
      </c>
      <c r="I50">
        <v>84</v>
      </c>
      <c r="J50">
        <f t="shared" si="10"/>
        <v>42</v>
      </c>
      <c r="K50">
        <f t="shared" si="11"/>
        <v>92</v>
      </c>
    </row>
    <row r="51" spans="1:12" x14ac:dyDescent="0.25">
      <c r="A51" s="22" t="s">
        <v>107</v>
      </c>
      <c r="B51">
        <v>98</v>
      </c>
      <c r="C51">
        <f t="shared" si="6"/>
        <v>19.600000000000001</v>
      </c>
      <c r="D51">
        <v>100</v>
      </c>
      <c r="E51">
        <f t="shared" si="7"/>
        <v>20</v>
      </c>
      <c r="F51">
        <v>95</v>
      </c>
      <c r="G51">
        <f t="shared" si="8"/>
        <v>9.5</v>
      </c>
      <c r="H51">
        <f t="shared" si="9"/>
        <v>49.1</v>
      </c>
      <c r="I51">
        <v>84</v>
      </c>
      <c r="J51">
        <f t="shared" si="10"/>
        <v>42</v>
      </c>
      <c r="K51">
        <f t="shared" si="11"/>
        <v>91</v>
      </c>
    </row>
    <row r="52" spans="1:12" x14ac:dyDescent="0.25">
      <c r="A52" s="22" t="s">
        <v>108</v>
      </c>
      <c r="B52">
        <v>100</v>
      </c>
      <c r="C52">
        <f t="shared" si="6"/>
        <v>20</v>
      </c>
      <c r="D52">
        <v>100</v>
      </c>
      <c r="E52">
        <f t="shared" si="7"/>
        <v>20</v>
      </c>
      <c r="F52">
        <v>78</v>
      </c>
      <c r="G52">
        <f t="shared" si="8"/>
        <v>7.8000000000000007</v>
      </c>
      <c r="H52">
        <f t="shared" si="9"/>
        <v>47.8</v>
      </c>
      <c r="I52">
        <v>90</v>
      </c>
      <c r="J52">
        <f t="shared" si="10"/>
        <v>45</v>
      </c>
      <c r="K52">
        <f t="shared" si="11"/>
        <v>93</v>
      </c>
    </row>
    <row r="53" spans="1:12" x14ac:dyDescent="0.25">
      <c r="A53" s="22" t="s">
        <v>109</v>
      </c>
      <c r="B53">
        <v>83</v>
      </c>
      <c r="C53">
        <f t="shared" si="6"/>
        <v>16.600000000000001</v>
      </c>
      <c r="D53">
        <v>97</v>
      </c>
      <c r="E53">
        <f t="shared" si="7"/>
        <v>19.400000000000002</v>
      </c>
      <c r="F53">
        <v>98</v>
      </c>
      <c r="G53">
        <f t="shared" si="8"/>
        <v>9.8000000000000007</v>
      </c>
      <c r="H53">
        <f t="shared" si="9"/>
        <v>45.8</v>
      </c>
      <c r="I53">
        <v>62</v>
      </c>
      <c r="J53">
        <f t="shared" si="10"/>
        <v>31</v>
      </c>
      <c r="K53">
        <f t="shared" si="11"/>
        <v>77</v>
      </c>
    </row>
    <row r="54" spans="1:12" x14ac:dyDescent="0.25">
      <c r="A54" s="22" t="s">
        <v>110</v>
      </c>
      <c r="B54">
        <v>97</v>
      </c>
      <c r="C54">
        <f t="shared" si="6"/>
        <v>19.400000000000002</v>
      </c>
      <c r="D54">
        <v>78</v>
      </c>
      <c r="E54">
        <f t="shared" si="7"/>
        <v>15.600000000000001</v>
      </c>
      <c r="F54">
        <v>95</v>
      </c>
      <c r="G54">
        <f t="shared" si="8"/>
        <v>9.5</v>
      </c>
      <c r="H54">
        <f t="shared" si="9"/>
        <v>44.5</v>
      </c>
      <c r="I54">
        <v>90</v>
      </c>
      <c r="J54">
        <f t="shared" si="10"/>
        <v>45</v>
      </c>
      <c r="K54">
        <f t="shared" si="11"/>
        <v>90</v>
      </c>
    </row>
    <row r="55" spans="1:12" x14ac:dyDescent="0.25">
      <c r="A55" s="22" t="s">
        <v>111</v>
      </c>
      <c r="B55">
        <v>90</v>
      </c>
      <c r="C55">
        <f t="shared" si="6"/>
        <v>18</v>
      </c>
      <c r="D55">
        <v>78</v>
      </c>
      <c r="E55">
        <f t="shared" si="7"/>
        <v>15.600000000000001</v>
      </c>
      <c r="F55">
        <v>96</v>
      </c>
      <c r="G55">
        <f t="shared" si="8"/>
        <v>9.6000000000000014</v>
      </c>
      <c r="H55">
        <f t="shared" si="9"/>
        <v>43.2</v>
      </c>
      <c r="I55">
        <v>71</v>
      </c>
      <c r="J55">
        <f t="shared" si="10"/>
        <v>35.5</v>
      </c>
      <c r="K55">
        <f t="shared" si="11"/>
        <v>79</v>
      </c>
    </row>
    <row r="56" spans="1:12" x14ac:dyDescent="0.25">
      <c r="A56" s="35" t="s">
        <v>112</v>
      </c>
      <c r="B56" s="36">
        <v>50</v>
      </c>
      <c r="C56" s="36">
        <f t="shared" si="6"/>
        <v>10</v>
      </c>
      <c r="D56" s="36">
        <v>68</v>
      </c>
      <c r="E56" s="36">
        <f t="shared" si="7"/>
        <v>13.600000000000001</v>
      </c>
      <c r="F56" s="36">
        <v>100</v>
      </c>
      <c r="G56" s="36">
        <f t="shared" si="8"/>
        <v>10</v>
      </c>
      <c r="H56" s="36">
        <f t="shared" si="9"/>
        <v>33.6</v>
      </c>
      <c r="I56" s="36">
        <v>71</v>
      </c>
      <c r="J56" s="36">
        <f t="shared" si="10"/>
        <v>35.5</v>
      </c>
      <c r="K56" s="36">
        <f t="shared" si="11"/>
        <v>69</v>
      </c>
      <c r="L56" s="36"/>
    </row>
    <row r="57" spans="1:12" x14ac:dyDescent="0.25">
      <c r="A57" s="22" t="s">
        <v>113</v>
      </c>
      <c r="B57">
        <v>100</v>
      </c>
      <c r="C57">
        <f t="shared" si="6"/>
        <v>20</v>
      </c>
      <c r="D57">
        <v>83</v>
      </c>
      <c r="E57">
        <f t="shared" si="7"/>
        <v>16.600000000000001</v>
      </c>
      <c r="F57">
        <v>100</v>
      </c>
      <c r="G57">
        <f t="shared" si="8"/>
        <v>10</v>
      </c>
      <c r="H57">
        <f t="shared" si="9"/>
        <v>46.6</v>
      </c>
      <c r="I57">
        <v>93</v>
      </c>
      <c r="J57">
        <f t="shared" si="10"/>
        <v>46.5</v>
      </c>
      <c r="K57">
        <f t="shared" si="11"/>
        <v>93</v>
      </c>
    </row>
    <row r="58" spans="1:12" x14ac:dyDescent="0.25">
      <c r="A58" s="22" t="s">
        <v>114</v>
      </c>
      <c r="B58">
        <v>100</v>
      </c>
      <c r="C58">
        <f t="shared" si="6"/>
        <v>20</v>
      </c>
      <c r="D58">
        <v>94</v>
      </c>
      <c r="E58">
        <f t="shared" si="7"/>
        <v>18.8</v>
      </c>
      <c r="F58">
        <v>100</v>
      </c>
      <c r="G58">
        <f t="shared" si="8"/>
        <v>10</v>
      </c>
      <c r="H58">
        <f t="shared" si="9"/>
        <v>48.8</v>
      </c>
      <c r="I58">
        <v>97</v>
      </c>
      <c r="J58">
        <f t="shared" si="10"/>
        <v>48.5</v>
      </c>
      <c r="K58">
        <f t="shared" si="11"/>
        <v>97</v>
      </c>
    </row>
    <row r="59" spans="1:12" x14ac:dyDescent="0.25">
      <c r="A59" s="22" t="s">
        <v>115</v>
      </c>
      <c r="B59">
        <v>60</v>
      </c>
      <c r="C59">
        <f t="shared" si="6"/>
        <v>12</v>
      </c>
      <c r="D59">
        <v>72</v>
      </c>
      <c r="E59">
        <f t="shared" si="7"/>
        <v>14.4</v>
      </c>
      <c r="F59">
        <v>100</v>
      </c>
      <c r="G59">
        <f t="shared" si="8"/>
        <v>10</v>
      </c>
      <c r="H59">
        <f t="shared" si="9"/>
        <v>36.4</v>
      </c>
      <c r="I59">
        <v>64</v>
      </c>
      <c r="J59">
        <f t="shared" si="10"/>
        <v>32</v>
      </c>
      <c r="K59">
        <f t="shared" si="11"/>
        <v>68</v>
      </c>
    </row>
    <row r="60" spans="1:12" x14ac:dyDescent="0.25">
      <c r="A60" s="22" t="s">
        <v>116</v>
      </c>
      <c r="B60">
        <v>100</v>
      </c>
      <c r="C60">
        <f t="shared" si="6"/>
        <v>20</v>
      </c>
      <c r="D60">
        <v>87</v>
      </c>
      <c r="E60">
        <f t="shared" si="7"/>
        <v>17.400000000000002</v>
      </c>
      <c r="F60">
        <v>100</v>
      </c>
      <c r="G60">
        <f t="shared" si="8"/>
        <v>10</v>
      </c>
      <c r="H60">
        <f t="shared" si="9"/>
        <v>47.400000000000006</v>
      </c>
      <c r="I60">
        <v>99</v>
      </c>
      <c r="J60">
        <f t="shared" si="10"/>
        <v>49.5</v>
      </c>
      <c r="K60">
        <f t="shared" si="11"/>
        <v>97</v>
      </c>
    </row>
    <row r="61" spans="1:12" x14ac:dyDescent="0.25">
      <c r="A61" s="22" t="s">
        <v>117</v>
      </c>
      <c r="B61">
        <v>50</v>
      </c>
      <c r="C61">
        <f t="shared" si="6"/>
        <v>10</v>
      </c>
      <c r="D61">
        <v>76</v>
      </c>
      <c r="E61">
        <f t="shared" si="7"/>
        <v>15.200000000000001</v>
      </c>
      <c r="F61">
        <v>100</v>
      </c>
      <c r="G61">
        <f t="shared" si="8"/>
        <v>10</v>
      </c>
      <c r="H61">
        <f t="shared" si="9"/>
        <v>35.200000000000003</v>
      </c>
      <c r="I61">
        <v>51</v>
      </c>
      <c r="J61">
        <f t="shared" si="10"/>
        <v>25.5</v>
      </c>
      <c r="K61">
        <f t="shared" si="11"/>
        <v>61</v>
      </c>
    </row>
    <row r="62" spans="1:12" x14ac:dyDescent="0.25">
      <c r="A62" s="22" t="s">
        <v>118</v>
      </c>
      <c r="B62">
        <v>50</v>
      </c>
      <c r="C62">
        <f t="shared" si="6"/>
        <v>10</v>
      </c>
      <c r="D62">
        <v>86</v>
      </c>
      <c r="E62">
        <f t="shared" si="7"/>
        <v>17.2</v>
      </c>
      <c r="F62">
        <v>100</v>
      </c>
      <c r="G62">
        <f t="shared" si="8"/>
        <v>10</v>
      </c>
      <c r="H62">
        <f t="shared" si="9"/>
        <v>37.200000000000003</v>
      </c>
      <c r="I62">
        <v>76</v>
      </c>
      <c r="J62">
        <f t="shared" si="10"/>
        <v>38</v>
      </c>
      <c r="K62">
        <f t="shared" si="11"/>
        <v>75</v>
      </c>
    </row>
    <row r="63" spans="1:12" x14ac:dyDescent="0.25">
      <c r="A63" s="22" t="s">
        <v>119</v>
      </c>
      <c r="B63">
        <v>80</v>
      </c>
      <c r="C63">
        <f t="shared" si="6"/>
        <v>16</v>
      </c>
      <c r="D63">
        <v>87</v>
      </c>
      <c r="E63">
        <f t="shared" si="7"/>
        <v>17.400000000000002</v>
      </c>
      <c r="F63">
        <v>100</v>
      </c>
      <c r="G63">
        <f t="shared" si="8"/>
        <v>10</v>
      </c>
      <c r="H63">
        <f t="shared" si="9"/>
        <v>43.400000000000006</v>
      </c>
      <c r="I63">
        <v>60</v>
      </c>
      <c r="J63">
        <f t="shared" si="10"/>
        <v>30</v>
      </c>
      <c r="K63">
        <f t="shared" si="11"/>
        <v>73</v>
      </c>
    </row>
    <row r="64" spans="1:12" x14ac:dyDescent="0.25">
      <c r="A64" s="22" t="s">
        <v>120</v>
      </c>
      <c r="B64">
        <v>100</v>
      </c>
      <c r="C64">
        <f t="shared" si="6"/>
        <v>20</v>
      </c>
      <c r="D64">
        <v>78</v>
      </c>
      <c r="E64">
        <f t="shared" si="7"/>
        <v>15.600000000000001</v>
      </c>
      <c r="F64">
        <v>100</v>
      </c>
      <c r="G64">
        <f t="shared" si="8"/>
        <v>10</v>
      </c>
      <c r="H64">
        <f t="shared" si="9"/>
        <v>45.6</v>
      </c>
      <c r="I64">
        <v>87</v>
      </c>
      <c r="J64">
        <f t="shared" si="10"/>
        <v>43.5</v>
      </c>
      <c r="K64">
        <f t="shared" si="11"/>
        <v>89</v>
      </c>
    </row>
    <row r="65" spans="1:11" x14ac:dyDescent="0.25">
      <c r="A65" s="22" t="s">
        <v>121</v>
      </c>
      <c r="B65">
        <v>100</v>
      </c>
      <c r="C65">
        <f t="shared" si="6"/>
        <v>20</v>
      </c>
      <c r="D65">
        <v>76</v>
      </c>
      <c r="E65">
        <f t="shared" si="7"/>
        <v>15.200000000000001</v>
      </c>
      <c r="F65">
        <v>100</v>
      </c>
      <c r="G65">
        <f t="shared" si="8"/>
        <v>10</v>
      </c>
      <c r="H65">
        <f t="shared" si="9"/>
        <v>45.2</v>
      </c>
      <c r="I65">
        <v>80</v>
      </c>
      <c r="J65">
        <f t="shared" si="10"/>
        <v>40</v>
      </c>
      <c r="K65">
        <f t="shared" si="11"/>
        <v>85</v>
      </c>
    </row>
    <row r="66" spans="1:11" x14ac:dyDescent="0.25">
      <c r="A66" s="22" t="s">
        <v>122</v>
      </c>
      <c r="B66">
        <v>90</v>
      </c>
      <c r="C66">
        <f t="shared" si="6"/>
        <v>18</v>
      </c>
      <c r="D66">
        <v>88</v>
      </c>
      <c r="E66">
        <f t="shared" si="7"/>
        <v>17.600000000000001</v>
      </c>
      <c r="F66">
        <v>100</v>
      </c>
      <c r="G66">
        <f t="shared" si="8"/>
        <v>10</v>
      </c>
      <c r="H66">
        <f t="shared" si="9"/>
        <v>45.6</v>
      </c>
      <c r="I66">
        <v>87</v>
      </c>
      <c r="J66">
        <f t="shared" si="10"/>
        <v>43.5</v>
      </c>
      <c r="K66">
        <f t="shared" si="11"/>
        <v>89</v>
      </c>
    </row>
    <row r="67" spans="1:11" x14ac:dyDescent="0.25">
      <c r="A67" s="22" t="s">
        <v>123</v>
      </c>
      <c r="B67">
        <v>90</v>
      </c>
      <c r="C67">
        <f t="shared" si="6"/>
        <v>18</v>
      </c>
      <c r="D67">
        <v>79</v>
      </c>
      <c r="E67">
        <f t="shared" si="7"/>
        <v>15.8</v>
      </c>
      <c r="F67">
        <v>100</v>
      </c>
      <c r="G67">
        <f t="shared" si="8"/>
        <v>10</v>
      </c>
      <c r="H67">
        <f t="shared" si="9"/>
        <v>43.8</v>
      </c>
      <c r="I67">
        <v>63</v>
      </c>
      <c r="J67">
        <f t="shared" si="10"/>
        <v>31.5</v>
      </c>
      <c r="K67">
        <f t="shared" si="11"/>
        <v>75</v>
      </c>
    </row>
    <row r="68" spans="1:11" x14ac:dyDescent="0.25">
      <c r="A68" s="22" t="s">
        <v>124</v>
      </c>
      <c r="B68">
        <v>100</v>
      </c>
      <c r="C68">
        <f t="shared" si="6"/>
        <v>20</v>
      </c>
      <c r="D68">
        <v>80</v>
      </c>
      <c r="E68">
        <f t="shared" si="7"/>
        <v>16</v>
      </c>
      <c r="F68">
        <v>100</v>
      </c>
      <c r="G68">
        <f t="shared" si="8"/>
        <v>10</v>
      </c>
      <c r="H68">
        <f t="shared" si="9"/>
        <v>46</v>
      </c>
      <c r="I68">
        <v>84</v>
      </c>
      <c r="J68">
        <f t="shared" si="10"/>
        <v>42</v>
      </c>
      <c r="K68">
        <f t="shared" ref="K68:K81" si="12">ROUND(H68+J68,0)</f>
        <v>88</v>
      </c>
    </row>
    <row r="69" spans="1:11" x14ac:dyDescent="0.25">
      <c r="A69" s="22" t="s">
        <v>125</v>
      </c>
      <c r="B69">
        <v>40</v>
      </c>
      <c r="C69">
        <f t="shared" si="6"/>
        <v>8</v>
      </c>
      <c r="D69">
        <v>70</v>
      </c>
      <c r="E69">
        <f t="shared" si="7"/>
        <v>14</v>
      </c>
      <c r="F69">
        <v>100</v>
      </c>
      <c r="G69">
        <f t="shared" si="8"/>
        <v>10</v>
      </c>
      <c r="H69">
        <f t="shared" si="9"/>
        <v>32</v>
      </c>
      <c r="I69">
        <v>73</v>
      </c>
      <c r="J69">
        <f t="shared" si="10"/>
        <v>36.5</v>
      </c>
      <c r="K69">
        <f t="shared" si="12"/>
        <v>69</v>
      </c>
    </row>
    <row r="70" spans="1:11" x14ac:dyDescent="0.25">
      <c r="A70" s="22" t="s">
        <v>126</v>
      </c>
      <c r="B70">
        <v>100</v>
      </c>
      <c r="C70">
        <f t="shared" si="6"/>
        <v>20</v>
      </c>
      <c r="D70">
        <v>82</v>
      </c>
      <c r="E70">
        <f t="shared" si="7"/>
        <v>16.400000000000002</v>
      </c>
      <c r="F70">
        <v>100</v>
      </c>
      <c r="G70">
        <f t="shared" si="8"/>
        <v>10</v>
      </c>
      <c r="H70">
        <f t="shared" si="9"/>
        <v>46.400000000000006</v>
      </c>
      <c r="I70">
        <v>89</v>
      </c>
      <c r="J70">
        <f t="shared" si="10"/>
        <v>44.5</v>
      </c>
      <c r="K70">
        <f t="shared" si="12"/>
        <v>91</v>
      </c>
    </row>
    <row r="71" spans="1:11" x14ac:dyDescent="0.25">
      <c r="A71" s="22" t="s">
        <v>127</v>
      </c>
      <c r="B71">
        <v>100</v>
      </c>
      <c r="C71">
        <f t="shared" si="6"/>
        <v>20</v>
      </c>
      <c r="D71">
        <v>91</v>
      </c>
      <c r="E71">
        <f t="shared" si="7"/>
        <v>18.2</v>
      </c>
      <c r="F71">
        <v>100</v>
      </c>
      <c r="G71">
        <f t="shared" si="8"/>
        <v>10</v>
      </c>
      <c r="H71">
        <f t="shared" si="9"/>
        <v>48.2</v>
      </c>
      <c r="I71">
        <v>93</v>
      </c>
      <c r="J71">
        <f t="shared" si="10"/>
        <v>46.5</v>
      </c>
      <c r="K71">
        <f t="shared" si="12"/>
        <v>95</v>
      </c>
    </row>
    <row r="72" spans="1:11" x14ac:dyDescent="0.25">
      <c r="A72" s="22" t="s">
        <v>128</v>
      </c>
      <c r="B72">
        <v>100</v>
      </c>
      <c r="C72">
        <f t="shared" si="6"/>
        <v>20</v>
      </c>
      <c r="D72">
        <v>85</v>
      </c>
      <c r="E72">
        <f t="shared" si="7"/>
        <v>17</v>
      </c>
      <c r="F72">
        <v>100</v>
      </c>
      <c r="G72">
        <f t="shared" si="8"/>
        <v>10</v>
      </c>
      <c r="H72">
        <f t="shared" si="9"/>
        <v>47</v>
      </c>
      <c r="I72">
        <v>90</v>
      </c>
      <c r="J72">
        <f t="shared" si="10"/>
        <v>45</v>
      </c>
      <c r="K72">
        <f t="shared" si="12"/>
        <v>92</v>
      </c>
    </row>
    <row r="73" spans="1:11" x14ac:dyDescent="0.25">
      <c r="A73" s="22" t="s">
        <v>129</v>
      </c>
      <c r="B73">
        <v>50</v>
      </c>
      <c r="C73">
        <f t="shared" si="6"/>
        <v>10</v>
      </c>
      <c r="D73">
        <v>70</v>
      </c>
      <c r="E73">
        <f t="shared" si="7"/>
        <v>14</v>
      </c>
      <c r="F73">
        <v>100</v>
      </c>
      <c r="G73">
        <f t="shared" si="8"/>
        <v>10</v>
      </c>
      <c r="H73">
        <f t="shared" si="9"/>
        <v>34</v>
      </c>
      <c r="I73">
        <v>59</v>
      </c>
      <c r="J73">
        <f t="shared" si="10"/>
        <v>29.5</v>
      </c>
      <c r="K73">
        <f t="shared" si="12"/>
        <v>64</v>
      </c>
    </row>
    <row r="74" spans="1:11" x14ac:dyDescent="0.25">
      <c r="A74" s="22" t="s">
        <v>130</v>
      </c>
      <c r="B74">
        <v>90</v>
      </c>
      <c r="C74">
        <f t="shared" si="6"/>
        <v>18</v>
      </c>
      <c r="D74">
        <v>91</v>
      </c>
      <c r="E74">
        <f t="shared" si="7"/>
        <v>18.2</v>
      </c>
      <c r="F74">
        <v>100</v>
      </c>
      <c r="G74">
        <f t="shared" si="8"/>
        <v>10</v>
      </c>
      <c r="H74">
        <f t="shared" si="9"/>
        <v>46.2</v>
      </c>
      <c r="I74">
        <v>80</v>
      </c>
      <c r="J74">
        <f t="shared" si="10"/>
        <v>40</v>
      </c>
      <c r="K74">
        <f t="shared" si="12"/>
        <v>86</v>
      </c>
    </row>
    <row r="75" spans="1:11" x14ac:dyDescent="0.25">
      <c r="A75" s="22" t="s">
        <v>131</v>
      </c>
      <c r="B75">
        <v>100</v>
      </c>
      <c r="C75">
        <f t="shared" si="6"/>
        <v>20</v>
      </c>
      <c r="D75">
        <v>70</v>
      </c>
      <c r="E75">
        <f t="shared" si="7"/>
        <v>14</v>
      </c>
      <c r="F75">
        <v>100</v>
      </c>
      <c r="G75">
        <f t="shared" si="8"/>
        <v>10</v>
      </c>
      <c r="H75">
        <f t="shared" si="9"/>
        <v>44</v>
      </c>
      <c r="I75">
        <v>53</v>
      </c>
      <c r="J75">
        <f t="shared" si="10"/>
        <v>26.5</v>
      </c>
      <c r="K75">
        <f t="shared" si="12"/>
        <v>71</v>
      </c>
    </row>
    <row r="76" spans="1:11" x14ac:dyDescent="0.25">
      <c r="A76" s="22" t="s">
        <v>132</v>
      </c>
      <c r="B76">
        <v>100</v>
      </c>
      <c r="C76">
        <f t="shared" si="6"/>
        <v>20</v>
      </c>
      <c r="D76">
        <v>88</v>
      </c>
      <c r="E76">
        <f t="shared" si="7"/>
        <v>17.600000000000001</v>
      </c>
      <c r="F76">
        <v>100</v>
      </c>
      <c r="G76">
        <f t="shared" si="8"/>
        <v>10</v>
      </c>
      <c r="H76">
        <f t="shared" si="9"/>
        <v>47.6</v>
      </c>
      <c r="I76">
        <v>77</v>
      </c>
      <c r="J76">
        <f t="shared" si="10"/>
        <v>38.5</v>
      </c>
      <c r="K76">
        <f t="shared" si="12"/>
        <v>86</v>
      </c>
    </row>
    <row r="77" spans="1:11" x14ac:dyDescent="0.25">
      <c r="A77" s="22" t="s">
        <v>133</v>
      </c>
      <c r="B77">
        <v>90</v>
      </c>
      <c r="C77">
        <f t="shared" si="6"/>
        <v>18</v>
      </c>
      <c r="D77">
        <v>91</v>
      </c>
      <c r="E77">
        <f t="shared" si="7"/>
        <v>18.2</v>
      </c>
      <c r="F77">
        <v>100</v>
      </c>
      <c r="G77">
        <f t="shared" si="8"/>
        <v>10</v>
      </c>
      <c r="H77">
        <f t="shared" si="9"/>
        <v>46.2</v>
      </c>
      <c r="I77">
        <v>86</v>
      </c>
      <c r="J77">
        <f t="shared" si="10"/>
        <v>43</v>
      </c>
      <c r="K77">
        <f t="shared" si="12"/>
        <v>89</v>
      </c>
    </row>
    <row r="78" spans="1:11" x14ac:dyDescent="0.25">
      <c r="A78" s="22" t="s">
        <v>134</v>
      </c>
      <c r="B78">
        <v>100</v>
      </c>
      <c r="C78">
        <f t="shared" si="6"/>
        <v>20</v>
      </c>
      <c r="D78">
        <v>100</v>
      </c>
      <c r="E78">
        <f t="shared" si="7"/>
        <v>20</v>
      </c>
      <c r="F78">
        <v>100</v>
      </c>
      <c r="G78">
        <f t="shared" si="8"/>
        <v>10</v>
      </c>
      <c r="H78">
        <f t="shared" si="9"/>
        <v>50</v>
      </c>
      <c r="I78">
        <v>97</v>
      </c>
      <c r="J78">
        <f t="shared" si="10"/>
        <v>48.5</v>
      </c>
      <c r="K78">
        <f t="shared" si="12"/>
        <v>99</v>
      </c>
    </row>
    <row r="79" spans="1:11" x14ac:dyDescent="0.25">
      <c r="A79" s="22" t="s">
        <v>135</v>
      </c>
      <c r="B79">
        <v>90</v>
      </c>
      <c r="C79">
        <f t="shared" si="6"/>
        <v>18</v>
      </c>
      <c r="D79">
        <v>82</v>
      </c>
      <c r="E79">
        <f t="shared" si="7"/>
        <v>16.400000000000002</v>
      </c>
      <c r="F79">
        <v>100</v>
      </c>
      <c r="G79">
        <f t="shared" si="8"/>
        <v>10</v>
      </c>
      <c r="H79">
        <f t="shared" si="9"/>
        <v>44.400000000000006</v>
      </c>
      <c r="I79">
        <v>93</v>
      </c>
      <c r="J79">
        <f t="shared" si="10"/>
        <v>46.5</v>
      </c>
      <c r="K79">
        <f t="shared" si="12"/>
        <v>91</v>
      </c>
    </row>
    <row r="80" spans="1:11" x14ac:dyDescent="0.25">
      <c r="A80" s="22" t="s">
        <v>136</v>
      </c>
      <c r="B80">
        <v>50</v>
      </c>
      <c r="C80">
        <f t="shared" si="6"/>
        <v>10</v>
      </c>
      <c r="D80">
        <v>68</v>
      </c>
      <c r="E80">
        <f t="shared" si="7"/>
        <v>13.600000000000001</v>
      </c>
      <c r="F80">
        <v>100</v>
      </c>
      <c r="G80">
        <f t="shared" si="8"/>
        <v>10</v>
      </c>
      <c r="H80">
        <f t="shared" si="9"/>
        <v>33.6</v>
      </c>
      <c r="I80">
        <v>53</v>
      </c>
      <c r="J80">
        <f t="shared" si="10"/>
        <v>26.5</v>
      </c>
      <c r="K80">
        <f t="shared" si="12"/>
        <v>60</v>
      </c>
    </row>
    <row r="81" spans="1:11" x14ac:dyDescent="0.25">
      <c r="A81" s="37" t="s">
        <v>137</v>
      </c>
      <c r="B81" s="38">
        <v>100</v>
      </c>
      <c r="C81" s="38">
        <f t="shared" si="6"/>
        <v>20</v>
      </c>
      <c r="D81" s="38">
        <v>95</v>
      </c>
      <c r="E81" s="38">
        <f t="shared" si="7"/>
        <v>19</v>
      </c>
      <c r="F81">
        <v>100</v>
      </c>
      <c r="G81" s="38">
        <f t="shared" si="8"/>
        <v>10</v>
      </c>
      <c r="H81" s="38">
        <f t="shared" si="9"/>
        <v>49</v>
      </c>
      <c r="I81" s="38">
        <v>98</v>
      </c>
      <c r="J81" s="38">
        <f t="shared" si="10"/>
        <v>49</v>
      </c>
      <c r="K81" s="38">
        <f t="shared" si="12"/>
        <v>98</v>
      </c>
    </row>
  </sheetData>
  <conditionalFormatting sqref="K4:L81">
    <cfRule type="colorScale" priority="1">
      <colorScale>
        <cfvo type="num" val="40"/>
        <cfvo type="percentile" val="50"/>
        <cfvo type="num" val="80"/>
        <color rgb="FFF8696B"/>
        <color rgb="FFFFEB84"/>
        <color rgb="FF63BE7B"/>
      </colorScale>
    </cfRule>
  </conditionalFormatting>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7C158-04CD-4AFF-BFA7-9BBA892A2981}">
  <sheetPr codeName="Sheet11"/>
  <dimension ref="A1:P80"/>
  <sheetViews>
    <sheetView topLeftCell="A46" workbookViewId="0">
      <selection activeCell="I53" sqref="I53"/>
    </sheetView>
  </sheetViews>
  <sheetFormatPr defaultRowHeight="15" x14ac:dyDescent="0.25"/>
  <cols>
    <col min="1" max="1" width="35" customWidth="1"/>
    <col min="2" max="2" width="8" customWidth="1"/>
    <col min="3" max="3" width="10.5703125" customWidth="1"/>
    <col min="4" max="4" width="12.28515625" customWidth="1"/>
    <col min="5" max="5" width="17.28515625" customWidth="1"/>
    <col min="6" max="6" width="16.85546875" customWidth="1"/>
    <col min="7" max="7" width="10.28515625" customWidth="1"/>
    <col min="8" max="8" width="6" customWidth="1"/>
    <col min="9" max="9" width="15.140625" customWidth="1"/>
    <col min="10" max="10" width="20.140625" customWidth="1"/>
    <col min="12" max="12" width="15.140625" customWidth="1"/>
    <col min="13" max="13" width="11" customWidth="1"/>
    <col min="17" max="17" width="15.140625" customWidth="1"/>
  </cols>
  <sheetData>
    <row r="1" spans="1:16" x14ac:dyDescent="0.25">
      <c r="D1" s="68"/>
      <c r="E1" s="68"/>
      <c r="F1" s="68"/>
      <c r="G1" s="68"/>
      <c r="H1" s="68"/>
      <c r="I1" s="68"/>
      <c r="J1" s="68"/>
    </row>
    <row r="2" spans="1:16" x14ac:dyDescent="0.25">
      <c r="A2" t="s">
        <v>0</v>
      </c>
      <c r="B2" t="s">
        <v>1</v>
      </c>
      <c r="C2" t="s">
        <v>48</v>
      </c>
      <c r="D2" t="s">
        <v>3</v>
      </c>
      <c r="E2" t="s">
        <v>49</v>
      </c>
      <c r="F2" t="s">
        <v>50</v>
      </c>
      <c r="G2" t="s">
        <v>51</v>
      </c>
      <c r="H2" t="s">
        <v>52</v>
      </c>
      <c r="I2" t="s">
        <v>2</v>
      </c>
      <c r="J2" t="s">
        <v>4</v>
      </c>
      <c r="K2" t="s">
        <v>5</v>
      </c>
    </row>
    <row r="3" spans="1:16" x14ac:dyDescent="0.25">
      <c r="A3" s="24" t="s">
        <v>20</v>
      </c>
      <c r="B3" s="25">
        <v>95</v>
      </c>
      <c r="C3" s="25">
        <f>B3*20%</f>
        <v>19</v>
      </c>
      <c r="D3" s="25">
        <v>93</v>
      </c>
      <c r="E3" s="25">
        <f>D3*20%</f>
        <v>18.600000000000001</v>
      </c>
      <c r="F3" s="25">
        <v>100</v>
      </c>
      <c r="G3" s="25">
        <f>F3*10%</f>
        <v>10</v>
      </c>
      <c r="H3" s="25">
        <f>C3+E3+G3</f>
        <v>47.6</v>
      </c>
      <c r="I3" s="25">
        <v>98</v>
      </c>
      <c r="J3" s="25">
        <f>I3*50%</f>
        <v>49</v>
      </c>
      <c r="K3" s="26">
        <f t="shared" ref="K3:K34" si="0">ROUND(H3+J3,0)</f>
        <v>97</v>
      </c>
      <c r="M3" t="s">
        <v>84</v>
      </c>
      <c r="N3" t="s">
        <v>36</v>
      </c>
      <c r="O3" t="s">
        <v>37</v>
      </c>
      <c r="P3" t="s">
        <v>38</v>
      </c>
    </row>
    <row r="4" spans="1:16" x14ac:dyDescent="0.25">
      <c r="A4" s="24" t="s">
        <v>18</v>
      </c>
      <c r="B4" s="25">
        <v>80</v>
      </c>
      <c r="C4" s="25">
        <f t="shared" ref="C4:C30" si="1">B4*20%</f>
        <v>16</v>
      </c>
      <c r="D4" s="25">
        <v>89</v>
      </c>
      <c r="E4" s="25">
        <f t="shared" ref="E4:E30" si="2">D4*20%</f>
        <v>17.8</v>
      </c>
      <c r="F4" s="25">
        <v>100</v>
      </c>
      <c r="G4" s="25">
        <f t="shared" ref="G4:G30" si="3">F4*10%</f>
        <v>10</v>
      </c>
      <c r="H4" s="25">
        <f t="shared" ref="H4:H30" si="4">C4+E4+G4</f>
        <v>43.8</v>
      </c>
      <c r="I4" s="25">
        <v>89</v>
      </c>
      <c r="J4" s="25">
        <f>I4*50%</f>
        <v>44.5</v>
      </c>
      <c r="K4" s="26">
        <f t="shared" si="0"/>
        <v>88</v>
      </c>
      <c r="M4" t="s">
        <v>33</v>
      </c>
      <c r="N4">
        <f>AVERAGE(B3:B80)</f>
        <v>89.65384615384616</v>
      </c>
      <c r="O4">
        <f>AVERAGE(D3:D80)</f>
        <v>83.166666666666671</v>
      </c>
      <c r="P4">
        <f>AVERAGE(I3:I80)</f>
        <v>85.102564102564102</v>
      </c>
    </row>
    <row r="5" spans="1:16" x14ac:dyDescent="0.25">
      <c r="A5" s="24" t="s">
        <v>32</v>
      </c>
      <c r="B5" s="25">
        <v>80</v>
      </c>
      <c r="C5" s="25">
        <f t="shared" si="1"/>
        <v>16</v>
      </c>
      <c r="D5" s="25">
        <v>83</v>
      </c>
      <c r="E5" s="25">
        <f t="shared" si="2"/>
        <v>16.600000000000001</v>
      </c>
      <c r="F5" s="25">
        <v>100</v>
      </c>
      <c r="G5" s="25">
        <f t="shared" si="3"/>
        <v>10</v>
      </c>
      <c r="H5" s="25">
        <f t="shared" si="4"/>
        <v>42.6</v>
      </c>
      <c r="I5" s="25">
        <v>95</v>
      </c>
      <c r="J5" s="25">
        <f t="shared" ref="J5:J30" si="5">I5*50%</f>
        <v>47.5</v>
      </c>
      <c r="K5" s="26">
        <f t="shared" si="0"/>
        <v>90</v>
      </c>
      <c r="M5" t="s">
        <v>34</v>
      </c>
      <c r="N5">
        <f>MAX(B3:B80)</f>
        <v>100</v>
      </c>
      <c r="O5">
        <f>MAX(D3:D80)</f>
        <v>100</v>
      </c>
      <c r="P5">
        <f>MAX(I3:I80)</f>
        <v>100</v>
      </c>
    </row>
    <row r="6" spans="1:16" x14ac:dyDescent="0.25">
      <c r="A6" s="24" t="s">
        <v>7</v>
      </c>
      <c r="B6" s="25">
        <v>95</v>
      </c>
      <c r="C6" s="25">
        <f t="shared" si="1"/>
        <v>19</v>
      </c>
      <c r="D6" s="25">
        <v>74</v>
      </c>
      <c r="E6" s="25">
        <f t="shared" si="2"/>
        <v>14.8</v>
      </c>
      <c r="F6" s="25">
        <v>100</v>
      </c>
      <c r="G6" s="25">
        <f t="shared" si="3"/>
        <v>10</v>
      </c>
      <c r="H6" s="25">
        <f t="shared" si="4"/>
        <v>43.8</v>
      </c>
      <c r="I6" s="25">
        <v>79</v>
      </c>
      <c r="J6" s="25">
        <f t="shared" si="5"/>
        <v>39.5</v>
      </c>
      <c r="K6" s="26">
        <f t="shared" si="0"/>
        <v>83</v>
      </c>
      <c r="M6" t="s">
        <v>35</v>
      </c>
      <c r="N6">
        <f>MIN(B3:B80)</f>
        <v>60</v>
      </c>
      <c r="O6">
        <f>MIN(D3:D80)</f>
        <v>46</v>
      </c>
      <c r="P6">
        <f>MIN(J3:J80)</f>
        <v>29</v>
      </c>
    </row>
    <row r="7" spans="1:16" x14ac:dyDescent="0.25">
      <c r="A7" s="24" t="s">
        <v>19</v>
      </c>
      <c r="B7" s="25">
        <v>100</v>
      </c>
      <c r="C7" s="25">
        <f t="shared" si="1"/>
        <v>20</v>
      </c>
      <c r="D7" s="25">
        <v>78</v>
      </c>
      <c r="E7" s="25">
        <f t="shared" si="2"/>
        <v>15.600000000000001</v>
      </c>
      <c r="F7" s="25">
        <v>100</v>
      </c>
      <c r="G7" s="25">
        <f t="shared" si="3"/>
        <v>10</v>
      </c>
      <c r="H7" s="25">
        <f t="shared" si="4"/>
        <v>45.6</v>
      </c>
      <c r="I7" s="25">
        <v>83</v>
      </c>
      <c r="J7" s="25">
        <f t="shared" si="5"/>
        <v>41.5</v>
      </c>
      <c r="K7" s="26">
        <f t="shared" si="0"/>
        <v>87</v>
      </c>
    </row>
    <row r="8" spans="1:16" x14ac:dyDescent="0.25">
      <c r="A8" s="24" t="s">
        <v>9</v>
      </c>
      <c r="B8" s="25">
        <v>90</v>
      </c>
      <c r="C8" s="25">
        <f t="shared" si="1"/>
        <v>18</v>
      </c>
      <c r="D8" s="25">
        <v>100</v>
      </c>
      <c r="E8" s="25">
        <f t="shared" si="2"/>
        <v>20</v>
      </c>
      <c r="F8" s="25">
        <v>100</v>
      </c>
      <c r="G8" s="25">
        <f t="shared" si="3"/>
        <v>10</v>
      </c>
      <c r="H8" s="25">
        <f t="shared" si="4"/>
        <v>48</v>
      </c>
      <c r="I8" s="25">
        <v>95</v>
      </c>
      <c r="J8" s="25">
        <f t="shared" si="5"/>
        <v>47.5</v>
      </c>
      <c r="K8" s="26">
        <f t="shared" si="0"/>
        <v>96</v>
      </c>
    </row>
    <row r="9" spans="1:16" x14ac:dyDescent="0.25">
      <c r="A9" s="24" t="s">
        <v>21</v>
      </c>
      <c r="B9" s="25">
        <v>100</v>
      </c>
      <c r="C9" s="25">
        <f t="shared" si="1"/>
        <v>20</v>
      </c>
      <c r="D9" s="25">
        <v>85</v>
      </c>
      <c r="E9" s="25">
        <f t="shared" si="2"/>
        <v>17</v>
      </c>
      <c r="F9" s="25">
        <v>100</v>
      </c>
      <c r="G9" s="25">
        <f t="shared" si="3"/>
        <v>10</v>
      </c>
      <c r="H9" s="25">
        <f t="shared" si="4"/>
        <v>47</v>
      </c>
      <c r="I9" s="25">
        <v>92</v>
      </c>
      <c r="J9" s="25">
        <f t="shared" si="5"/>
        <v>46</v>
      </c>
      <c r="K9" s="26">
        <f t="shared" si="0"/>
        <v>93</v>
      </c>
    </row>
    <row r="10" spans="1:16" x14ac:dyDescent="0.25">
      <c r="A10" s="24" t="s">
        <v>8</v>
      </c>
      <c r="B10" s="25">
        <v>90</v>
      </c>
      <c r="C10" s="25">
        <f t="shared" si="1"/>
        <v>18</v>
      </c>
      <c r="D10" s="25">
        <v>91</v>
      </c>
      <c r="E10" s="25">
        <f t="shared" si="2"/>
        <v>18.2</v>
      </c>
      <c r="F10" s="25">
        <v>100</v>
      </c>
      <c r="G10" s="25">
        <f t="shared" si="3"/>
        <v>10</v>
      </c>
      <c r="H10" s="25">
        <f t="shared" si="4"/>
        <v>46.2</v>
      </c>
      <c r="I10" s="25">
        <v>86</v>
      </c>
      <c r="J10" s="25">
        <f t="shared" si="5"/>
        <v>43</v>
      </c>
      <c r="K10" s="26">
        <f t="shared" si="0"/>
        <v>89</v>
      </c>
    </row>
    <row r="11" spans="1:16" x14ac:dyDescent="0.25">
      <c r="A11" s="24" t="s">
        <v>10</v>
      </c>
      <c r="B11" s="25">
        <v>100</v>
      </c>
      <c r="C11" s="25">
        <f t="shared" si="1"/>
        <v>20</v>
      </c>
      <c r="D11" s="25">
        <v>83</v>
      </c>
      <c r="E11" s="25">
        <f t="shared" si="2"/>
        <v>16.600000000000001</v>
      </c>
      <c r="F11" s="25">
        <v>100</v>
      </c>
      <c r="G11" s="25">
        <f t="shared" si="3"/>
        <v>10</v>
      </c>
      <c r="H11" s="25">
        <f t="shared" si="4"/>
        <v>46.6</v>
      </c>
      <c r="I11" s="25">
        <v>98</v>
      </c>
      <c r="J11" s="25">
        <f t="shared" si="5"/>
        <v>49</v>
      </c>
      <c r="K11" s="26">
        <f t="shared" si="0"/>
        <v>96</v>
      </c>
    </row>
    <row r="12" spans="1:16" x14ac:dyDescent="0.25">
      <c r="A12" s="24" t="s">
        <v>6</v>
      </c>
      <c r="B12" s="25">
        <v>80</v>
      </c>
      <c r="C12" s="25">
        <f t="shared" si="1"/>
        <v>16</v>
      </c>
      <c r="D12" s="25">
        <v>79</v>
      </c>
      <c r="E12" s="25">
        <f t="shared" si="2"/>
        <v>15.8</v>
      </c>
      <c r="F12" s="25">
        <v>100</v>
      </c>
      <c r="G12" s="25">
        <f t="shared" si="3"/>
        <v>10</v>
      </c>
      <c r="H12" s="25">
        <f t="shared" si="4"/>
        <v>41.8</v>
      </c>
      <c r="I12" s="25">
        <v>75</v>
      </c>
      <c r="J12" s="25">
        <f t="shared" si="5"/>
        <v>37.5</v>
      </c>
      <c r="K12" s="26">
        <f t="shared" si="0"/>
        <v>79</v>
      </c>
    </row>
    <row r="13" spans="1:16" x14ac:dyDescent="0.25">
      <c r="A13" s="24" t="s">
        <v>17</v>
      </c>
      <c r="B13" s="25">
        <v>80</v>
      </c>
      <c r="C13" s="25">
        <f t="shared" si="1"/>
        <v>16</v>
      </c>
      <c r="D13" s="25">
        <v>57</v>
      </c>
      <c r="E13" s="25">
        <f t="shared" si="2"/>
        <v>11.4</v>
      </c>
      <c r="F13" s="25">
        <v>100</v>
      </c>
      <c r="G13" s="25">
        <f t="shared" si="3"/>
        <v>10</v>
      </c>
      <c r="H13" s="25">
        <f t="shared" si="4"/>
        <v>37.4</v>
      </c>
      <c r="I13" s="25">
        <v>80</v>
      </c>
      <c r="J13" s="25">
        <f t="shared" si="5"/>
        <v>40</v>
      </c>
      <c r="K13" s="26">
        <f t="shared" si="0"/>
        <v>77</v>
      </c>
    </row>
    <row r="14" spans="1:16" x14ac:dyDescent="0.25">
      <c r="A14" s="24" t="s">
        <v>22</v>
      </c>
      <c r="B14" s="25">
        <v>75</v>
      </c>
      <c r="C14" s="25">
        <f t="shared" si="1"/>
        <v>15</v>
      </c>
      <c r="D14" s="25">
        <v>100</v>
      </c>
      <c r="E14" s="25">
        <f t="shared" si="2"/>
        <v>20</v>
      </c>
      <c r="F14" s="25">
        <v>100</v>
      </c>
      <c r="G14" s="25">
        <f t="shared" si="3"/>
        <v>10</v>
      </c>
      <c r="H14" s="25">
        <f t="shared" si="4"/>
        <v>45</v>
      </c>
      <c r="I14" s="25">
        <v>92</v>
      </c>
      <c r="J14" s="25">
        <f t="shared" si="5"/>
        <v>46</v>
      </c>
      <c r="K14" s="26">
        <f t="shared" si="0"/>
        <v>91</v>
      </c>
    </row>
    <row r="15" spans="1:16" x14ac:dyDescent="0.25">
      <c r="A15" s="24" t="s">
        <v>11</v>
      </c>
      <c r="B15" s="25">
        <v>90</v>
      </c>
      <c r="C15" s="25">
        <f t="shared" si="1"/>
        <v>18</v>
      </c>
      <c r="D15" s="25">
        <v>78</v>
      </c>
      <c r="E15" s="25">
        <f t="shared" si="2"/>
        <v>15.600000000000001</v>
      </c>
      <c r="F15" s="25">
        <v>100</v>
      </c>
      <c r="G15" s="25">
        <f t="shared" si="3"/>
        <v>10</v>
      </c>
      <c r="H15" s="25">
        <f t="shared" si="4"/>
        <v>43.6</v>
      </c>
      <c r="I15" s="25">
        <v>91</v>
      </c>
      <c r="J15" s="25">
        <f t="shared" si="5"/>
        <v>45.5</v>
      </c>
      <c r="K15" s="26">
        <f t="shared" si="0"/>
        <v>89</v>
      </c>
    </row>
    <row r="16" spans="1:16" x14ac:dyDescent="0.25">
      <c r="A16" s="24" t="s">
        <v>23</v>
      </c>
      <c r="B16" s="25">
        <v>95</v>
      </c>
      <c r="C16" s="25">
        <f t="shared" si="1"/>
        <v>19</v>
      </c>
      <c r="D16" s="25">
        <v>84</v>
      </c>
      <c r="E16" s="25">
        <f t="shared" si="2"/>
        <v>16.8</v>
      </c>
      <c r="F16" s="25">
        <v>100</v>
      </c>
      <c r="G16" s="25">
        <f t="shared" si="3"/>
        <v>10</v>
      </c>
      <c r="H16" s="25">
        <f t="shared" si="4"/>
        <v>45.8</v>
      </c>
      <c r="I16" s="25">
        <v>90</v>
      </c>
      <c r="J16" s="25">
        <f t="shared" si="5"/>
        <v>45</v>
      </c>
      <c r="K16" s="26">
        <f t="shared" si="0"/>
        <v>91</v>
      </c>
    </row>
    <row r="17" spans="1:11" x14ac:dyDescent="0.25">
      <c r="A17" s="24" t="s">
        <v>12</v>
      </c>
      <c r="B17" s="25">
        <v>85</v>
      </c>
      <c r="C17" s="25">
        <f t="shared" si="1"/>
        <v>17</v>
      </c>
      <c r="D17" s="25">
        <v>86</v>
      </c>
      <c r="E17" s="25">
        <f t="shared" si="2"/>
        <v>17.2</v>
      </c>
      <c r="F17" s="25">
        <v>100</v>
      </c>
      <c r="G17" s="25">
        <f t="shared" si="3"/>
        <v>10</v>
      </c>
      <c r="H17" s="25">
        <f t="shared" si="4"/>
        <v>44.2</v>
      </c>
      <c r="I17" s="25">
        <v>68</v>
      </c>
      <c r="J17" s="25">
        <f t="shared" si="5"/>
        <v>34</v>
      </c>
      <c r="K17" s="26">
        <f t="shared" si="0"/>
        <v>78</v>
      </c>
    </row>
    <row r="18" spans="1:11" x14ac:dyDescent="0.25">
      <c r="A18" s="24" t="s">
        <v>13</v>
      </c>
      <c r="B18" s="25">
        <v>80</v>
      </c>
      <c r="C18" s="25">
        <f t="shared" si="1"/>
        <v>16</v>
      </c>
      <c r="D18" s="25">
        <v>61</v>
      </c>
      <c r="E18" s="25">
        <f t="shared" si="2"/>
        <v>12.200000000000001</v>
      </c>
      <c r="F18" s="25">
        <v>100</v>
      </c>
      <c r="G18" s="25">
        <f t="shared" si="3"/>
        <v>10</v>
      </c>
      <c r="H18" s="25">
        <f t="shared" si="4"/>
        <v>38.200000000000003</v>
      </c>
      <c r="I18" s="25">
        <v>70</v>
      </c>
      <c r="J18" s="25">
        <f t="shared" si="5"/>
        <v>35</v>
      </c>
      <c r="K18" s="26">
        <f t="shared" si="0"/>
        <v>73</v>
      </c>
    </row>
    <row r="19" spans="1:11" x14ac:dyDescent="0.25">
      <c r="A19" s="24" t="s">
        <v>27</v>
      </c>
      <c r="B19" s="25">
        <v>90</v>
      </c>
      <c r="C19" s="25">
        <f t="shared" si="1"/>
        <v>18</v>
      </c>
      <c r="D19" s="25">
        <v>76</v>
      </c>
      <c r="E19" s="25">
        <f t="shared" si="2"/>
        <v>15.200000000000001</v>
      </c>
      <c r="F19" s="25">
        <v>100</v>
      </c>
      <c r="G19" s="25">
        <f t="shared" si="3"/>
        <v>10</v>
      </c>
      <c r="H19" s="25">
        <f t="shared" si="4"/>
        <v>43.2</v>
      </c>
      <c r="I19" s="25">
        <v>94</v>
      </c>
      <c r="J19" s="25">
        <f t="shared" si="5"/>
        <v>47</v>
      </c>
      <c r="K19" s="26">
        <f t="shared" si="0"/>
        <v>90</v>
      </c>
    </row>
    <row r="20" spans="1:11" x14ac:dyDescent="0.25">
      <c r="A20" s="24" t="s">
        <v>24</v>
      </c>
      <c r="B20" s="25">
        <v>90</v>
      </c>
      <c r="C20" s="25">
        <f t="shared" si="1"/>
        <v>18</v>
      </c>
      <c r="D20" s="25">
        <v>85</v>
      </c>
      <c r="E20" s="25">
        <f t="shared" si="2"/>
        <v>17</v>
      </c>
      <c r="F20" s="25">
        <v>100</v>
      </c>
      <c r="G20" s="25">
        <f t="shared" si="3"/>
        <v>10</v>
      </c>
      <c r="H20" s="25">
        <f t="shared" si="4"/>
        <v>45</v>
      </c>
      <c r="I20" s="25">
        <v>95</v>
      </c>
      <c r="J20" s="25">
        <f t="shared" si="5"/>
        <v>47.5</v>
      </c>
      <c r="K20" s="26">
        <f t="shared" si="0"/>
        <v>93</v>
      </c>
    </row>
    <row r="21" spans="1:11" x14ac:dyDescent="0.25">
      <c r="A21" s="24" t="s">
        <v>26</v>
      </c>
      <c r="B21" s="25">
        <v>95</v>
      </c>
      <c r="C21" s="25">
        <f t="shared" si="1"/>
        <v>19</v>
      </c>
      <c r="D21" s="25">
        <v>100</v>
      </c>
      <c r="E21" s="25">
        <f t="shared" si="2"/>
        <v>20</v>
      </c>
      <c r="F21" s="25">
        <v>100</v>
      </c>
      <c r="G21" s="25">
        <f t="shared" si="3"/>
        <v>10</v>
      </c>
      <c r="H21" s="25">
        <f t="shared" si="4"/>
        <v>49</v>
      </c>
      <c r="I21" s="25">
        <v>95</v>
      </c>
      <c r="J21" s="25">
        <f t="shared" si="5"/>
        <v>47.5</v>
      </c>
      <c r="K21" s="26">
        <f t="shared" si="0"/>
        <v>97</v>
      </c>
    </row>
    <row r="22" spans="1:11" x14ac:dyDescent="0.25">
      <c r="A22" s="24" t="s">
        <v>28</v>
      </c>
      <c r="B22" s="25">
        <v>85</v>
      </c>
      <c r="C22" s="25">
        <f t="shared" si="1"/>
        <v>17</v>
      </c>
      <c r="D22" s="25">
        <v>59</v>
      </c>
      <c r="E22" s="25">
        <f t="shared" si="2"/>
        <v>11.8</v>
      </c>
      <c r="F22" s="25">
        <v>100</v>
      </c>
      <c r="G22" s="25">
        <f t="shared" si="3"/>
        <v>10</v>
      </c>
      <c r="H22" s="25">
        <f t="shared" si="4"/>
        <v>38.799999999999997</v>
      </c>
      <c r="I22" s="25">
        <v>85</v>
      </c>
      <c r="J22" s="25">
        <f t="shared" si="5"/>
        <v>42.5</v>
      </c>
      <c r="K22" s="26">
        <f t="shared" si="0"/>
        <v>81</v>
      </c>
    </row>
    <row r="23" spans="1:11" x14ac:dyDescent="0.25">
      <c r="A23" s="24" t="s">
        <v>25</v>
      </c>
      <c r="B23" s="25">
        <v>80</v>
      </c>
      <c r="C23" s="25">
        <f t="shared" si="1"/>
        <v>16</v>
      </c>
      <c r="D23" s="25">
        <v>46</v>
      </c>
      <c r="E23" s="25">
        <f t="shared" si="2"/>
        <v>9.2000000000000011</v>
      </c>
      <c r="F23" s="25">
        <v>100</v>
      </c>
      <c r="G23" s="25">
        <f t="shared" si="3"/>
        <v>10</v>
      </c>
      <c r="H23" s="25">
        <f t="shared" si="4"/>
        <v>35.200000000000003</v>
      </c>
      <c r="I23" s="25">
        <v>73</v>
      </c>
      <c r="J23" s="25">
        <f t="shared" si="5"/>
        <v>36.5</v>
      </c>
      <c r="K23" s="26">
        <f t="shared" si="0"/>
        <v>72</v>
      </c>
    </row>
    <row r="24" spans="1:11" x14ac:dyDescent="0.25">
      <c r="A24" s="24" t="s">
        <v>31</v>
      </c>
      <c r="B24" s="25">
        <v>95</v>
      </c>
      <c r="C24" s="25">
        <f t="shared" si="1"/>
        <v>19</v>
      </c>
      <c r="D24" s="25">
        <v>82</v>
      </c>
      <c r="E24" s="25">
        <f t="shared" si="2"/>
        <v>16.400000000000002</v>
      </c>
      <c r="F24" s="25">
        <v>100</v>
      </c>
      <c r="G24" s="25">
        <f t="shared" si="3"/>
        <v>10</v>
      </c>
      <c r="H24" s="25">
        <f t="shared" si="4"/>
        <v>45.400000000000006</v>
      </c>
      <c r="I24" s="25">
        <v>98</v>
      </c>
      <c r="J24" s="25">
        <f t="shared" si="5"/>
        <v>49</v>
      </c>
      <c r="K24" s="26">
        <f t="shared" si="0"/>
        <v>94</v>
      </c>
    </row>
    <row r="25" spans="1:11" x14ac:dyDescent="0.25">
      <c r="A25" s="24" t="s">
        <v>14</v>
      </c>
      <c r="B25" s="25">
        <v>80</v>
      </c>
      <c r="C25" s="25">
        <f t="shared" si="1"/>
        <v>16</v>
      </c>
      <c r="D25" s="25">
        <v>85</v>
      </c>
      <c r="E25" s="25">
        <f t="shared" si="2"/>
        <v>17</v>
      </c>
      <c r="F25" s="25">
        <v>100</v>
      </c>
      <c r="G25" s="25">
        <f t="shared" si="3"/>
        <v>10</v>
      </c>
      <c r="H25" s="25">
        <f t="shared" si="4"/>
        <v>43</v>
      </c>
      <c r="I25" s="25">
        <v>79</v>
      </c>
      <c r="J25" s="25">
        <f t="shared" si="5"/>
        <v>39.5</v>
      </c>
      <c r="K25" s="26">
        <f t="shared" si="0"/>
        <v>83</v>
      </c>
    </row>
    <row r="26" spans="1:11" x14ac:dyDescent="0.25">
      <c r="A26" s="24" t="s">
        <v>16</v>
      </c>
      <c r="B26" s="25">
        <v>80</v>
      </c>
      <c r="C26" s="25">
        <f t="shared" si="1"/>
        <v>16</v>
      </c>
      <c r="D26" s="25">
        <v>98</v>
      </c>
      <c r="E26" s="25">
        <f t="shared" si="2"/>
        <v>19.600000000000001</v>
      </c>
      <c r="F26" s="25">
        <v>100</v>
      </c>
      <c r="G26" s="25">
        <f t="shared" si="3"/>
        <v>10</v>
      </c>
      <c r="H26" s="25">
        <f t="shared" si="4"/>
        <v>45.6</v>
      </c>
      <c r="I26" s="25">
        <v>92</v>
      </c>
      <c r="J26" s="25">
        <f t="shared" si="5"/>
        <v>46</v>
      </c>
      <c r="K26" s="26">
        <f t="shared" si="0"/>
        <v>92</v>
      </c>
    </row>
    <row r="27" spans="1:11" x14ac:dyDescent="0.25">
      <c r="A27" s="24" t="s">
        <v>29</v>
      </c>
      <c r="B27" s="25">
        <v>90</v>
      </c>
      <c r="C27" s="25">
        <f t="shared" si="1"/>
        <v>18</v>
      </c>
      <c r="D27" s="25">
        <v>90</v>
      </c>
      <c r="E27" s="25">
        <f t="shared" si="2"/>
        <v>18</v>
      </c>
      <c r="F27" s="25">
        <v>100</v>
      </c>
      <c r="G27" s="25">
        <f t="shared" si="3"/>
        <v>10</v>
      </c>
      <c r="H27" s="25">
        <f t="shared" si="4"/>
        <v>46</v>
      </c>
      <c r="I27" s="25">
        <v>93</v>
      </c>
      <c r="J27" s="25">
        <f t="shared" si="5"/>
        <v>46.5</v>
      </c>
      <c r="K27" s="26">
        <f t="shared" si="0"/>
        <v>93</v>
      </c>
    </row>
    <row r="28" spans="1:11" x14ac:dyDescent="0.25">
      <c r="A28" s="24" t="s">
        <v>15</v>
      </c>
      <c r="B28" s="25">
        <v>90</v>
      </c>
      <c r="C28" s="25">
        <f t="shared" si="1"/>
        <v>18</v>
      </c>
      <c r="D28" s="25">
        <v>77</v>
      </c>
      <c r="E28" s="25">
        <f t="shared" si="2"/>
        <v>15.4</v>
      </c>
      <c r="F28" s="25">
        <v>100</v>
      </c>
      <c r="G28" s="25">
        <f t="shared" si="3"/>
        <v>10</v>
      </c>
      <c r="H28" s="25">
        <f t="shared" si="4"/>
        <v>43.4</v>
      </c>
      <c r="I28" s="25">
        <v>93</v>
      </c>
      <c r="J28" s="25">
        <f t="shared" si="5"/>
        <v>46.5</v>
      </c>
      <c r="K28" s="26">
        <f t="shared" si="0"/>
        <v>90</v>
      </c>
    </row>
    <row r="29" spans="1:11" x14ac:dyDescent="0.25">
      <c r="A29" s="24" t="s">
        <v>30</v>
      </c>
      <c r="B29" s="25">
        <v>70</v>
      </c>
      <c r="C29" s="25">
        <f t="shared" si="1"/>
        <v>14</v>
      </c>
      <c r="D29" s="25">
        <v>87</v>
      </c>
      <c r="E29" s="25">
        <f t="shared" si="2"/>
        <v>17.400000000000002</v>
      </c>
      <c r="F29" s="25">
        <v>100</v>
      </c>
      <c r="G29" s="25">
        <f t="shared" si="3"/>
        <v>10</v>
      </c>
      <c r="H29" s="25">
        <f t="shared" si="4"/>
        <v>41.400000000000006</v>
      </c>
      <c r="I29" s="25">
        <v>83</v>
      </c>
      <c r="J29" s="25">
        <f t="shared" si="5"/>
        <v>41.5</v>
      </c>
      <c r="K29" s="26">
        <f t="shared" si="0"/>
        <v>83</v>
      </c>
    </row>
    <row r="30" spans="1:11" s="36" customFormat="1" x14ac:dyDescent="0.25">
      <c r="A30" s="36" t="s">
        <v>145</v>
      </c>
      <c r="B30" s="41">
        <v>89</v>
      </c>
      <c r="C30" s="41">
        <f t="shared" si="1"/>
        <v>17.8</v>
      </c>
      <c r="D30" s="41">
        <v>66</v>
      </c>
      <c r="E30" s="41">
        <f t="shared" si="2"/>
        <v>13.200000000000001</v>
      </c>
      <c r="F30" s="41">
        <v>100</v>
      </c>
      <c r="G30" s="41">
        <f t="shared" si="3"/>
        <v>10</v>
      </c>
      <c r="H30" s="41">
        <f t="shared" si="4"/>
        <v>41</v>
      </c>
      <c r="I30" s="41">
        <v>74</v>
      </c>
      <c r="J30" s="41">
        <f t="shared" si="5"/>
        <v>37</v>
      </c>
      <c r="K30" s="42">
        <f t="shared" si="0"/>
        <v>78</v>
      </c>
    </row>
    <row r="31" spans="1:11" x14ac:dyDescent="0.25">
      <c r="A31" s="27" t="s">
        <v>88</v>
      </c>
      <c r="B31" s="28">
        <v>85</v>
      </c>
      <c r="C31" s="25">
        <f>B31*20%</f>
        <v>17</v>
      </c>
      <c r="D31" s="25">
        <v>81</v>
      </c>
      <c r="E31" s="25">
        <f>D31*20%</f>
        <v>16.2</v>
      </c>
      <c r="F31" s="25">
        <v>100</v>
      </c>
      <c r="G31" s="25">
        <f>F31*10%</f>
        <v>10</v>
      </c>
      <c r="H31" s="25">
        <f>C31+E31+G31</f>
        <v>43.2</v>
      </c>
      <c r="I31" s="25">
        <v>79</v>
      </c>
      <c r="J31" s="25">
        <f>I31*50%</f>
        <v>39.5</v>
      </c>
      <c r="K31" s="26">
        <f t="shared" si="0"/>
        <v>83</v>
      </c>
    </row>
    <row r="32" spans="1:11" x14ac:dyDescent="0.25">
      <c r="A32" s="27" t="s">
        <v>89</v>
      </c>
      <c r="B32" s="28">
        <v>74</v>
      </c>
      <c r="C32" s="25">
        <f>B32*20%</f>
        <v>14.8</v>
      </c>
      <c r="D32" s="25">
        <v>89</v>
      </c>
      <c r="E32" s="25">
        <f>D32*20%</f>
        <v>17.8</v>
      </c>
      <c r="F32" s="25">
        <v>100</v>
      </c>
      <c r="G32" s="25">
        <f>F32*10%</f>
        <v>10</v>
      </c>
      <c r="H32" s="25">
        <f>C32+E32+G32</f>
        <v>42.6</v>
      </c>
      <c r="I32" s="25">
        <v>75</v>
      </c>
      <c r="J32" s="25">
        <f>I32*50%</f>
        <v>37.5</v>
      </c>
      <c r="K32" s="26">
        <f t="shared" si="0"/>
        <v>80</v>
      </c>
    </row>
    <row r="33" spans="1:11" x14ac:dyDescent="0.25">
      <c r="A33" s="27" t="s">
        <v>90</v>
      </c>
      <c r="B33" s="28">
        <v>98</v>
      </c>
      <c r="C33" s="25">
        <f t="shared" ref="C33:C80" si="6">B33*20%</f>
        <v>19.600000000000001</v>
      </c>
      <c r="D33" s="25">
        <v>96</v>
      </c>
      <c r="E33" s="25">
        <f t="shared" ref="E33:E80" si="7">D33*20%</f>
        <v>19.200000000000003</v>
      </c>
      <c r="F33" s="25">
        <v>100</v>
      </c>
      <c r="G33" s="25">
        <f t="shared" ref="G33:G80" si="8">F33*10%</f>
        <v>10</v>
      </c>
      <c r="H33" s="25">
        <f t="shared" ref="H33:H80" si="9">C33+E33+G33</f>
        <v>48.800000000000004</v>
      </c>
      <c r="I33" s="25">
        <v>89</v>
      </c>
      <c r="J33" s="25">
        <f t="shared" ref="J33:J80" si="10">I33*50%</f>
        <v>44.5</v>
      </c>
      <c r="K33" s="26">
        <f t="shared" si="0"/>
        <v>93</v>
      </c>
    </row>
    <row r="34" spans="1:11" x14ac:dyDescent="0.25">
      <c r="A34" s="27" t="s">
        <v>91</v>
      </c>
      <c r="B34" s="28">
        <v>93</v>
      </c>
      <c r="C34" s="25">
        <f t="shared" si="6"/>
        <v>18.600000000000001</v>
      </c>
      <c r="D34" s="25">
        <v>88</v>
      </c>
      <c r="E34" s="25">
        <f t="shared" si="7"/>
        <v>17.600000000000001</v>
      </c>
      <c r="F34" s="25">
        <v>100</v>
      </c>
      <c r="G34" s="25">
        <f t="shared" si="8"/>
        <v>10</v>
      </c>
      <c r="H34" s="25">
        <f t="shared" si="9"/>
        <v>46.2</v>
      </c>
      <c r="I34" s="25">
        <v>83</v>
      </c>
      <c r="J34" s="25">
        <f t="shared" si="10"/>
        <v>41.5</v>
      </c>
      <c r="K34" s="26">
        <f t="shared" si="0"/>
        <v>88</v>
      </c>
    </row>
    <row r="35" spans="1:11" x14ac:dyDescent="0.25">
      <c r="A35" s="27" t="s">
        <v>92</v>
      </c>
      <c r="B35" s="28">
        <v>95</v>
      </c>
      <c r="C35" s="25">
        <f t="shared" si="6"/>
        <v>19</v>
      </c>
      <c r="D35" s="25">
        <v>91</v>
      </c>
      <c r="E35" s="25">
        <f t="shared" si="7"/>
        <v>18.2</v>
      </c>
      <c r="F35" s="25">
        <v>100</v>
      </c>
      <c r="G35" s="25">
        <f t="shared" si="8"/>
        <v>10</v>
      </c>
      <c r="H35" s="25">
        <f t="shared" si="9"/>
        <v>47.2</v>
      </c>
      <c r="I35" s="25">
        <v>81</v>
      </c>
      <c r="J35" s="25">
        <f t="shared" si="10"/>
        <v>40.5</v>
      </c>
      <c r="K35" s="26">
        <f t="shared" ref="K35:K66" si="11">ROUND(H35+J35,0)</f>
        <v>88</v>
      </c>
    </row>
    <row r="36" spans="1:11" x14ac:dyDescent="0.25">
      <c r="A36" s="27" t="s">
        <v>93</v>
      </c>
      <c r="B36" s="28">
        <v>98</v>
      </c>
      <c r="C36" s="25">
        <f t="shared" si="6"/>
        <v>19.600000000000001</v>
      </c>
      <c r="D36" s="25">
        <v>94</v>
      </c>
      <c r="E36" s="25">
        <f t="shared" si="7"/>
        <v>18.8</v>
      </c>
      <c r="F36" s="25">
        <v>100</v>
      </c>
      <c r="G36" s="25">
        <f t="shared" si="8"/>
        <v>10</v>
      </c>
      <c r="H36" s="25">
        <f t="shared" si="9"/>
        <v>48.400000000000006</v>
      </c>
      <c r="I36" s="25">
        <v>99</v>
      </c>
      <c r="J36" s="25">
        <f t="shared" si="10"/>
        <v>49.5</v>
      </c>
      <c r="K36" s="26">
        <f t="shared" si="11"/>
        <v>98</v>
      </c>
    </row>
    <row r="37" spans="1:11" x14ac:dyDescent="0.25">
      <c r="A37" s="27" t="s">
        <v>94</v>
      </c>
      <c r="B37" s="28">
        <v>96</v>
      </c>
      <c r="C37" s="25">
        <f t="shared" si="6"/>
        <v>19.200000000000003</v>
      </c>
      <c r="D37" s="25">
        <v>69</v>
      </c>
      <c r="E37" s="25">
        <f t="shared" si="7"/>
        <v>13.8</v>
      </c>
      <c r="F37" s="25">
        <v>100</v>
      </c>
      <c r="G37" s="25">
        <f t="shared" si="8"/>
        <v>10</v>
      </c>
      <c r="H37" s="25">
        <f t="shared" si="9"/>
        <v>43</v>
      </c>
      <c r="I37" s="25">
        <v>89</v>
      </c>
      <c r="J37" s="25">
        <f t="shared" si="10"/>
        <v>44.5</v>
      </c>
      <c r="K37" s="26">
        <f t="shared" si="11"/>
        <v>88</v>
      </c>
    </row>
    <row r="38" spans="1:11" x14ac:dyDescent="0.25">
      <c r="A38" s="27" t="s">
        <v>95</v>
      </c>
      <c r="B38" s="28">
        <v>89</v>
      </c>
      <c r="C38" s="25">
        <f t="shared" si="6"/>
        <v>17.8</v>
      </c>
      <c r="D38" s="25">
        <v>84</v>
      </c>
      <c r="E38" s="25">
        <f t="shared" si="7"/>
        <v>16.8</v>
      </c>
      <c r="F38" s="25">
        <v>100</v>
      </c>
      <c r="G38" s="25">
        <f t="shared" si="8"/>
        <v>10</v>
      </c>
      <c r="H38" s="25">
        <f t="shared" si="9"/>
        <v>44.6</v>
      </c>
      <c r="I38" s="25">
        <v>77</v>
      </c>
      <c r="J38" s="25">
        <f t="shared" si="10"/>
        <v>38.5</v>
      </c>
      <c r="K38" s="26">
        <f t="shared" si="11"/>
        <v>83</v>
      </c>
    </row>
    <row r="39" spans="1:11" x14ac:dyDescent="0.25">
      <c r="A39" s="27" t="s">
        <v>96</v>
      </c>
      <c r="B39" s="28">
        <v>100</v>
      </c>
      <c r="C39" s="25">
        <f t="shared" si="6"/>
        <v>20</v>
      </c>
      <c r="D39" s="25">
        <v>86</v>
      </c>
      <c r="E39" s="25">
        <f t="shared" si="7"/>
        <v>17.2</v>
      </c>
      <c r="F39" s="25">
        <v>100</v>
      </c>
      <c r="G39" s="25">
        <f t="shared" si="8"/>
        <v>10</v>
      </c>
      <c r="H39" s="25">
        <f t="shared" si="9"/>
        <v>47.2</v>
      </c>
      <c r="I39" s="25">
        <v>88</v>
      </c>
      <c r="J39" s="25">
        <f t="shared" si="10"/>
        <v>44</v>
      </c>
      <c r="K39" s="26">
        <f t="shared" si="11"/>
        <v>91</v>
      </c>
    </row>
    <row r="40" spans="1:11" x14ac:dyDescent="0.25">
      <c r="A40" s="27" t="s">
        <v>97</v>
      </c>
      <c r="B40" s="28">
        <v>100</v>
      </c>
      <c r="C40" s="25">
        <f t="shared" si="6"/>
        <v>20</v>
      </c>
      <c r="D40" s="25">
        <v>95</v>
      </c>
      <c r="E40" s="25">
        <f t="shared" si="7"/>
        <v>19</v>
      </c>
      <c r="F40" s="25">
        <v>100</v>
      </c>
      <c r="G40" s="25">
        <f t="shared" si="8"/>
        <v>10</v>
      </c>
      <c r="H40" s="25">
        <f t="shared" si="9"/>
        <v>49</v>
      </c>
      <c r="I40" s="25">
        <v>97</v>
      </c>
      <c r="J40" s="25">
        <f t="shared" si="10"/>
        <v>48.5</v>
      </c>
      <c r="K40" s="26">
        <f t="shared" si="11"/>
        <v>98</v>
      </c>
    </row>
    <row r="41" spans="1:11" x14ac:dyDescent="0.25">
      <c r="A41" s="27" t="s">
        <v>98</v>
      </c>
      <c r="B41" s="28">
        <v>93</v>
      </c>
      <c r="C41" s="25">
        <f t="shared" si="6"/>
        <v>18.600000000000001</v>
      </c>
      <c r="D41" s="25">
        <v>82</v>
      </c>
      <c r="E41" s="25">
        <f t="shared" si="7"/>
        <v>16.400000000000002</v>
      </c>
      <c r="F41" s="25">
        <v>100</v>
      </c>
      <c r="G41" s="25">
        <f t="shared" si="8"/>
        <v>10</v>
      </c>
      <c r="H41" s="25">
        <f t="shared" si="9"/>
        <v>45</v>
      </c>
      <c r="I41" s="25">
        <v>85</v>
      </c>
      <c r="J41" s="25">
        <f t="shared" si="10"/>
        <v>42.5</v>
      </c>
      <c r="K41" s="26">
        <f t="shared" si="11"/>
        <v>88</v>
      </c>
    </row>
    <row r="42" spans="1:11" x14ac:dyDescent="0.25">
      <c r="A42" s="27" t="s">
        <v>99</v>
      </c>
      <c r="B42" s="28">
        <v>100</v>
      </c>
      <c r="C42" s="25">
        <f t="shared" si="6"/>
        <v>20</v>
      </c>
      <c r="D42" s="25">
        <v>95</v>
      </c>
      <c r="E42" s="25">
        <f t="shared" si="7"/>
        <v>19</v>
      </c>
      <c r="F42" s="25">
        <v>100</v>
      </c>
      <c r="G42" s="25">
        <f t="shared" si="8"/>
        <v>10</v>
      </c>
      <c r="H42" s="25">
        <f t="shared" si="9"/>
        <v>49</v>
      </c>
      <c r="I42" s="25">
        <v>100</v>
      </c>
      <c r="J42" s="25">
        <f t="shared" si="10"/>
        <v>50</v>
      </c>
      <c r="K42" s="26">
        <f t="shared" si="11"/>
        <v>99</v>
      </c>
    </row>
    <row r="43" spans="1:11" x14ac:dyDescent="0.25">
      <c r="A43" s="27" t="s">
        <v>100</v>
      </c>
      <c r="B43" s="28">
        <v>98</v>
      </c>
      <c r="C43" s="25">
        <f t="shared" si="6"/>
        <v>19.600000000000001</v>
      </c>
      <c r="D43" s="25">
        <v>96</v>
      </c>
      <c r="E43" s="25">
        <f t="shared" si="7"/>
        <v>19.200000000000003</v>
      </c>
      <c r="F43" s="25">
        <v>100</v>
      </c>
      <c r="G43" s="25">
        <f t="shared" si="8"/>
        <v>10</v>
      </c>
      <c r="H43" s="25">
        <f t="shared" si="9"/>
        <v>48.800000000000004</v>
      </c>
      <c r="I43" s="25">
        <v>98</v>
      </c>
      <c r="J43" s="25">
        <f t="shared" si="10"/>
        <v>49</v>
      </c>
      <c r="K43" s="26">
        <f t="shared" si="11"/>
        <v>98</v>
      </c>
    </row>
    <row r="44" spans="1:11" x14ac:dyDescent="0.25">
      <c r="A44" s="27" t="s">
        <v>101</v>
      </c>
      <c r="B44" s="28">
        <v>100</v>
      </c>
      <c r="C44" s="25">
        <f t="shared" si="6"/>
        <v>20</v>
      </c>
      <c r="D44" s="25">
        <v>95</v>
      </c>
      <c r="E44" s="25">
        <f t="shared" si="7"/>
        <v>19</v>
      </c>
      <c r="F44" s="25">
        <v>100</v>
      </c>
      <c r="G44" s="25">
        <f t="shared" si="8"/>
        <v>10</v>
      </c>
      <c r="H44" s="25">
        <f t="shared" si="9"/>
        <v>49</v>
      </c>
      <c r="I44" s="25">
        <v>100</v>
      </c>
      <c r="J44" s="25">
        <f t="shared" si="10"/>
        <v>50</v>
      </c>
      <c r="K44" s="26">
        <f t="shared" si="11"/>
        <v>99</v>
      </c>
    </row>
    <row r="45" spans="1:11" x14ac:dyDescent="0.25">
      <c r="A45" s="27" t="s">
        <v>102</v>
      </c>
      <c r="B45" s="28">
        <v>95</v>
      </c>
      <c r="C45" s="25">
        <f t="shared" si="6"/>
        <v>19</v>
      </c>
      <c r="D45" s="25">
        <v>77</v>
      </c>
      <c r="E45" s="25">
        <f t="shared" si="7"/>
        <v>15.4</v>
      </c>
      <c r="F45" s="25">
        <v>100</v>
      </c>
      <c r="G45" s="25">
        <f t="shared" si="8"/>
        <v>10</v>
      </c>
      <c r="H45" s="25">
        <f t="shared" si="9"/>
        <v>44.4</v>
      </c>
      <c r="I45" s="25">
        <v>92</v>
      </c>
      <c r="J45" s="25">
        <f t="shared" si="10"/>
        <v>46</v>
      </c>
      <c r="K45" s="26">
        <f t="shared" si="11"/>
        <v>90</v>
      </c>
    </row>
    <row r="46" spans="1:11" x14ac:dyDescent="0.25">
      <c r="A46" s="27" t="s">
        <v>103</v>
      </c>
      <c r="B46" s="28">
        <v>90</v>
      </c>
      <c r="C46" s="25">
        <f t="shared" si="6"/>
        <v>18</v>
      </c>
      <c r="D46" s="25">
        <v>85</v>
      </c>
      <c r="E46" s="25">
        <f t="shared" si="7"/>
        <v>17</v>
      </c>
      <c r="F46" s="25">
        <v>100</v>
      </c>
      <c r="G46" s="25">
        <f t="shared" si="8"/>
        <v>10</v>
      </c>
      <c r="H46" s="25">
        <f t="shared" si="9"/>
        <v>45</v>
      </c>
      <c r="I46" s="25">
        <v>85</v>
      </c>
      <c r="J46" s="25">
        <f t="shared" si="10"/>
        <v>42.5</v>
      </c>
      <c r="K46" s="26">
        <f t="shared" si="11"/>
        <v>88</v>
      </c>
    </row>
    <row r="47" spans="1:11" x14ac:dyDescent="0.25">
      <c r="A47" s="27" t="s">
        <v>104</v>
      </c>
      <c r="B47" s="28">
        <v>72</v>
      </c>
      <c r="C47" s="25">
        <f t="shared" si="6"/>
        <v>14.4</v>
      </c>
      <c r="D47" s="25">
        <v>47</v>
      </c>
      <c r="E47" s="25">
        <f t="shared" si="7"/>
        <v>9.4</v>
      </c>
      <c r="F47" s="25">
        <v>100</v>
      </c>
      <c r="G47" s="25">
        <f t="shared" si="8"/>
        <v>10</v>
      </c>
      <c r="H47" s="25">
        <f t="shared" si="9"/>
        <v>33.799999999999997</v>
      </c>
      <c r="I47" s="25">
        <v>75</v>
      </c>
      <c r="J47" s="25">
        <f t="shared" si="10"/>
        <v>37.5</v>
      </c>
      <c r="K47" s="26">
        <f t="shared" si="11"/>
        <v>71</v>
      </c>
    </row>
    <row r="48" spans="1:11" x14ac:dyDescent="0.25">
      <c r="A48" s="27" t="s">
        <v>105</v>
      </c>
      <c r="B48" s="28">
        <v>97</v>
      </c>
      <c r="C48" s="25">
        <f t="shared" si="6"/>
        <v>19.400000000000002</v>
      </c>
      <c r="D48" s="25">
        <v>93</v>
      </c>
      <c r="E48" s="25">
        <f t="shared" si="7"/>
        <v>18.600000000000001</v>
      </c>
      <c r="F48" s="25">
        <v>100</v>
      </c>
      <c r="G48" s="25">
        <f t="shared" si="8"/>
        <v>10</v>
      </c>
      <c r="H48" s="25">
        <f t="shared" si="9"/>
        <v>48</v>
      </c>
      <c r="I48" s="25">
        <v>86</v>
      </c>
      <c r="J48" s="25">
        <f t="shared" si="10"/>
        <v>43</v>
      </c>
      <c r="K48" s="26">
        <f t="shared" si="11"/>
        <v>91</v>
      </c>
    </row>
    <row r="49" spans="1:11" x14ac:dyDescent="0.25">
      <c r="A49" s="27" t="s">
        <v>106</v>
      </c>
      <c r="B49" s="28">
        <v>100</v>
      </c>
      <c r="C49" s="25">
        <f t="shared" si="6"/>
        <v>20</v>
      </c>
      <c r="D49" s="25">
        <v>97</v>
      </c>
      <c r="E49" s="25">
        <f t="shared" si="7"/>
        <v>19.400000000000002</v>
      </c>
      <c r="F49" s="25">
        <v>100</v>
      </c>
      <c r="G49" s="25">
        <f t="shared" si="8"/>
        <v>10</v>
      </c>
      <c r="H49" s="25">
        <f t="shared" si="9"/>
        <v>49.400000000000006</v>
      </c>
      <c r="I49" s="25">
        <v>100</v>
      </c>
      <c r="J49" s="25">
        <f t="shared" si="10"/>
        <v>50</v>
      </c>
      <c r="K49" s="26">
        <f t="shared" si="11"/>
        <v>99</v>
      </c>
    </row>
    <row r="50" spans="1:11" x14ac:dyDescent="0.25">
      <c r="A50" s="27" t="s">
        <v>107</v>
      </c>
      <c r="B50" s="28">
        <v>97</v>
      </c>
      <c r="C50" s="25">
        <f t="shared" si="6"/>
        <v>19.400000000000002</v>
      </c>
      <c r="D50" s="25">
        <v>90</v>
      </c>
      <c r="E50" s="25">
        <f t="shared" si="7"/>
        <v>18</v>
      </c>
      <c r="F50" s="25">
        <v>100</v>
      </c>
      <c r="G50" s="25">
        <f t="shared" si="8"/>
        <v>10</v>
      </c>
      <c r="H50" s="25">
        <f t="shared" si="9"/>
        <v>47.400000000000006</v>
      </c>
      <c r="I50" s="25">
        <v>85</v>
      </c>
      <c r="J50" s="25">
        <f t="shared" si="10"/>
        <v>42.5</v>
      </c>
      <c r="K50" s="26">
        <f t="shared" si="11"/>
        <v>90</v>
      </c>
    </row>
    <row r="51" spans="1:11" x14ac:dyDescent="0.25">
      <c r="A51" s="27" t="s">
        <v>108</v>
      </c>
      <c r="B51" s="28">
        <v>100</v>
      </c>
      <c r="C51" s="25">
        <f t="shared" si="6"/>
        <v>20</v>
      </c>
      <c r="D51" s="25">
        <v>95</v>
      </c>
      <c r="E51" s="25">
        <f t="shared" si="7"/>
        <v>19</v>
      </c>
      <c r="F51" s="25">
        <v>100</v>
      </c>
      <c r="G51" s="25">
        <f t="shared" si="8"/>
        <v>10</v>
      </c>
      <c r="H51" s="25">
        <f t="shared" si="9"/>
        <v>49</v>
      </c>
      <c r="I51" s="25">
        <v>99</v>
      </c>
      <c r="J51" s="25">
        <f t="shared" si="10"/>
        <v>49.5</v>
      </c>
      <c r="K51" s="26">
        <f t="shared" si="11"/>
        <v>99</v>
      </c>
    </row>
    <row r="52" spans="1:11" x14ac:dyDescent="0.25">
      <c r="A52" s="27" t="s">
        <v>109</v>
      </c>
      <c r="B52" s="28">
        <v>83</v>
      </c>
      <c r="C52" s="25">
        <f t="shared" si="6"/>
        <v>16.600000000000001</v>
      </c>
      <c r="D52" s="25">
        <v>47</v>
      </c>
      <c r="E52" s="25">
        <f t="shared" si="7"/>
        <v>9.4</v>
      </c>
      <c r="F52" s="25">
        <v>100</v>
      </c>
      <c r="G52" s="25">
        <f t="shared" si="8"/>
        <v>10</v>
      </c>
      <c r="H52" s="25">
        <f t="shared" si="9"/>
        <v>36</v>
      </c>
      <c r="I52" s="25">
        <v>76</v>
      </c>
      <c r="J52" s="25">
        <f t="shared" si="10"/>
        <v>38</v>
      </c>
      <c r="K52" s="26">
        <f t="shared" si="11"/>
        <v>74</v>
      </c>
    </row>
    <row r="53" spans="1:11" x14ac:dyDescent="0.25">
      <c r="A53" s="27" t="s">
        <v>110</v>
      </c>
      <c r="B53" s="28">
        <v>92</v>
      </c>
      <c r="C53" s="25">
        <f t="shared" si="6"/>
        <v>18.400000000000002</v>
      </c>
      <c r="D53" s="25">
        <v>79</v>
      </c>
      <c r="E53" s="25">
        <f t="shared" si="7"/>
        <v>15.8</v>
      </c>
      <c r="F53" s="25">
        <v>100</v>
      </c>
      <c r="G53" s="25">
        <f t="shared" si="8"/>
        <v>10</v>
      </c>
      <c r="H53" s="25">
        <f t="shared" si="9"/>
        <v>44.2</v>
      </c>
      <c r="I53" s="25">
        <v>94</v>
      </c>
      <c r="J53" s="25">
        <f t="shared" si="10"/>
        <v>47</v>
      </c>
      <c r="K53" s="26">
        <f t="shared" si="11"/>
        <v>91</v>
      </c>
    </row>
    <row r="54" spans="1:11" x14ac:dyDescent="0.25">
      <c r="A54" s="27" t="s">
        <v>111</v>
      </c>
      <c r="B54" s="28">
        <v>89</v>
      </c>
      <c r="C54" s="25">
        <f t="shared" si="6"/>
        <v>17.8</v>
      </c>
      <c r="D54" s="25">
        <v>93</v>
      </c>
      <c r="E54" s="25">
        <f t="shared" si="7"/>
        <v>18.600000000000001</v>
      </c>
      <c r="F54" s="25">
        <v>100</v>
      </c>
      <c r="G54" s="25">
        <f t="shared" si="8"/>
        <v>10</v>
      </c>
      <c r="H54" s="25">
        <f t="shared" si="9"/>
        <v>46.400000000000006</v>
      </c>
      <c r="I54" s="25">
        <v>86</v>
      </c>
      <c r="J54" s="25">
        <f t="shared" si="10"/>
        <v>43</v>
      </c>
      <c r="K54" s="26">
        <f t="shared" si="11"/>
        <v>89</v>
      </c>
    </row>
    <row r="55" spans="1:11" s="36" customFormat="1" x14ac:dyDescent="0.25">
      <c r="A55" s="39" t="s">
        <v>112</v>
      </c>
      <c r="B55" s="40">
        <v>60</v>
      </c>
      <c r="C55" s="41">
        <f t="shared" si="6"/>
        <v>12</v>
      </c>
      <c r="D55" s="41">
        <v>59</v>
      </c>
      <c r="E55" s="41">
        <f t="shared" si="7"/>
        <v>11.8</v>
      </c>
      <c r="F55" s="41">
        <v>100</v>
      </c>
      <c r="G55" s="41">
        <f t="shared" si="8"/>
        <v>10</v>
      </c>
      <c r="H55" s="41">
        <f t="shared" si="9"/>
        <v>33.799999999999997</v>
      </c>
      <c r="I55" s="41">
        <v>59</v>
      </c>
      <c r="J55" s="41">
        <f t="shared" si="10"/>
        <v>29.5</v>
      </c>
      <c r="K55" s="42">
        <f t="shared" si="11"/>
        <v>63</v>
      </c>
    </row>
    <row r="56" spans="1:11" x14ac:dyDescent="0.25">
      <c r="A56" s="27" t="s">
        <v>113</v>
      </c>
      <c r="B56" s="28">
        <v>90</v>
      </c>
      <c r="C56" s="25">
        <f t="shared" si="6"/>
        <v>18</v>
      </c>
      <c r="D56" s="25">
        <v>92</v>
      </c>
      <c r="E56" s="25">
        <f t="shared" si="7"/>
        <v>18.400000000000002</v>
      </c>
      <c r="F56" s="41">
        <v>100</v>
      </c>
      <c r="G56" s="25">
        <f t="shared" si="8"/>
        <v>10</v>
      </c>
      <c r="H56" s="25">
        <f t="shared" si="9"/>
        <v>46.400000000000006</v>
      </c>
      <c r="I56" s="25">
        <v>98</v>
      </c>
      <c r="J56" s="25">
        <f t="shared" si="10"/>
        <v>49</v>
      </c>
      <c r="K56" s="26">
        <f t="shared" si="11"/>
        <v>95</v>
      </c>
    </row>
    <row r="57" spans="1:11" x14ac:dyDescent="0.25">
      <c r="A57" s="27" t="s">
        <v>114</v>
      </c>
      <c r="B57" s="28">
        <v>100</v>
      </c>
      <c r="C57" s="25">
        <f t="shared" si="6"/>
        <v>20</v>
      </c>
      <c r="D57" s="25">
        <v>97</v>
      </c>
      <c r="E57" s="25">
        <f t="shared" si="7"/>
        <v>19.400000000000002</v>
      </c>
      <c r="F57" s="41">
        <v>100</v>
      </c>
      <c r="G57" s="25">
        <f t="shared" si="8"/>
        <v>10</v>
      </c>
      <c r="H57" s="25">
        <f t="shared" si="9"/>
        <v>49.400000000000006</v>
      </c>
      <c r="I57" s="25">
        <v>98</v>
      </c>
      <c r="J57" s="25">
        <f t="shared" si="10"/>
        <v>49</v>
      </c>
      <c r="K57" s="26">
        <f t="shared" si="11"/>
        <v>98</v>
      </c>
    </row>
    <row r="58" spans="1:11" x14ac:dyDescent="0.25">
      <c r="A58" s="27" t="s">
        <v>115</v>
      </c>
      <c r="B58" s="28">
        <v>60</v>
      </c>
      <c r="C58" s="25">
        <f t="shared" si="6"/>
        <v>12</v>
      </c>
      <c r="D58" s="25">
        <v>76</v>
      </c>
      <c r="E58" s="25">
        <f t="shared" si="7"/>
        <v>15.200000000000001</v>
      </c>
      <c r="F58" s="41">
        <v>100</v>
      </c>
      <c r="G58" s="25">
        <f t="shared" si="8"/>
        <v>10</v>
      </c>
      <c r="H58" s="25">
        <f t="shared" si="9"/>
        <v>37.200000000000003</v>
      </c>
      <c r="I58" s="25">
        <v>68</v>
      </c>
      <c r="J58" s="25">
        <f t="shared" si="10"/>
        <v>34</v>
      </c>
      <c r="K58" s="26">
        <f t="shared" si="11"/>
        <v>71</v>
      </c>
    </row>
    <row r="59" spans="1:11" x14ac:dyDescent="0.25">
      <c r="A59" s="27" t="s">
        <v>116</v>
      </c>
      <c r="B59" s="28">
        <v>90</v>
      </c>
      <c r="C59" s="25">
        <f t="shared" si="6"/>
        <v>18</v>
      </c>
      <c r="D59" s="25">
        <v>100</v>
      </c>
      <c r="E59" s="25">
        <f t="shared" si="7"/>
        <v>20</v>
      </c>
      <c r="F59" s="41">
        <v>100</v>
      </c>
      <c r="G59" s="25">
        <f t="shared" si="8"/>
        <v>10</v>
      </c>
      <c r="H59" s="25">
        <f t="shared" si="9"/>
        <v>48</v>
      </c>
      <c r="I59" s="25">
        <v>97</v>
      </c>
      <c r="J59" s="25">
        <f t="shared" si="10"/>
        <v>48.5</v>
      </c>
      <c r="K59" s="26">
        <f t="shared" si="11"/>
        <v>97</v>
      </c>
    </row>
    <row r="60" spans="1:11" x14ac:dyDescent="0.25">
      <c r="A60" s="27" t="s">
        <v>117</v>
      </c>
      <c r="B60" s="28">
        <v>95</v>
      </c>
      <c r="C60" s="25">
        <f t="shared" si="6"/>
        <v>19</v>
      </c>
      <c r="D60" s="25">
        <v>86</v>
      </c>
      <c r="E60" s="25">
        <f t="shared" si="7"/>
        <v>17.2</v>
      </c>
      <c r="F60" s="41">
        <v>100</v>
      </c>
      <c r="G60" s="25">
        <f t="shared" si="8"/>
        <v>10</v>
      </c>
      <c r="H60" s="25">
        <f t="shared" si="9"/>
        <v>46.2</v>
      </c>
      <c r="I60" s="25">
        <v>71</v>
      </c>
      <c r="J60" s="25">
        <f t="shared" si="10"/>
        <v>35.5</v>
      </c>
      <c r="K60" s="26">
        <f t="shared" si="11"/>
        <v>82</v>
      </c>
    </row>
    <row r="61" spans="1:11" x14ac:dyDescent="0.25">
      <c r="A61" s="27" t="s">
        <v>118</v>
      </c>
      <c r="B61" s="28">
        <v>100</v>
      </c>
      <c r="C61" s="25">
        <f t="shared" si="6"/>
        <v>20</v>
      </c>
      <c r="D61" s="25">
        <v>68</v>
      </c>
      <c r="E61" s="25">
        <f t="shared" si="7"/>
        <v>13.600000000000001</v>
      </c>
      <c r="F61" s="41">
        <v>100</v>
      </c>
      <c r="G61" s="25">
        <f t="shared" si="8"/>
        <v>10</v>
      </c>
      <c r="H61" s="25">
        <f t="shared" si="9"/>
        <v>43.6</v>
      </c>
      <c r="I61" s="25">
        <v>77</v>
      </c>
      <c r="J61" s="25">
        <f t="shared" si="10"/>
        <v>38.5</v>
      </c>
      <c r="K61" s="26">
        <f t="shared" si="11"/>
        <v>82</v>
      </c>
    </row>
    <row r="62" spans="1:11" x14ac:dyDescent="0.25">
      <c r="A62" s="27" t="s">
        <v>119</v>
      </c>
      <c r="B62" s="28">
        <v>95</v>
      </c>
      <c r="C62" s="25">
        <f t="shared" si="6"/>
        <v>19</v>
      </c>
      <c r="D62" s="25">
        <v>74</v>
      </c>
      <c r="E62" s="25">
        <f t="shared" si="7"/>
        <v>14.8</v>
      </c>
      <c r="F62" s="41">
        <v>100</v>
      </c>
      <c r="G62" s="25">
        <f t="shared" si="8"/>
        <v>10</v>
      </c>
      <c r="H62" s="25">
        <f t="shared" si="9"/>
        <v>43.8</v>
      </c>
      <c r="I62" s="25">
        <v>67</v>
      </c>
      <c r="J62" s="25">
        <f t="shared" si="10"/>
        <v>33.5</v>
      </c>
      <c r="K62" s="26">
        <f t="shared" si="11"/>
        <v>77</v>
      </c>
    </row>
    <row r="63" spans="1:11" x14ac:dyDescent="0.25">
      <c r="A63" s="27" t="s">
        <v>120</v>
      </c>
      <c r="B63" s="28">
        <v>100</v>
      </c>
      <c r="C63" s="25">
        <f t="shared" si="6"/>
        <v>20</v>
      </c>
      <c r="D63" s="25">
        <v>98</v>
      </c>
      <c r="E63" s="25">
        <f t="shared" si="7"/>
        <v>19.600000000000001</v>
      </c>
      <c r="F63" s="41">
        <v>100</v>
      </c>
      <c r="G63" s="25">
        <f t="shared" si="8"/>
        <v>10</v>
      </c>
      <c r="H63" s="25">
        <f t="shared" si="9"/>
        <v>49.6</v>
      </c>
      <c r="I63" s="25">
        <v>93</v>
      </c>
      <c r="J63" s="25">
        <f t="shared" si="10"/>
        <v>46.5</v>
      </c>
      <c r="K63" s="26">
        <f t="shared" si="11"/>
        <v>96</v>
      </c>
    </row>
    <row r="64" spans="1:11" x14ac:dyDescent="0.25">
      <c r="A64" s="27" t="s">
        <v>121</v>
      </c>
      <c r="B64" s="28">
        <v>95</v>
      </c>
      <c r="C64" s="25">
        <f t="shared" si="6"/>
        <v>19</v>
      </c>
      <c r="D64" s="25">
        <v>97</v>
      </c>
      <c r="E64" s="25">
        <f t="shared" si="7"/>
        <v>19.400000000000002</v>
      </c>
      <c r="F64" s="41">
        <v>100</v>
      </c>
      <c r="G64" s="25">
        <f t="shared" si="8"/>
        <v>10</v>
      </c>
      <c r="H64" s="25">
        <f t="shared" si="9"/>
        <v>48.400000000000006</v>
      </c>
      <c r="I64" s="25">
        <v>96</v>
      </c>
      <c r="J64" s="25">
        <f t="shared" si="10"/>
        <v>48</v>
      </c>
      <c r="K64" s="26">
        <f t="shared" si="11"/>
        <v>96</v>
      </c>
    </row>
    <row r="65" spans="1:11" x14ac:dyDescent="0.25">
      <c r="A65" s="27" t="s">
        <v>122</v>
      </c>
      <c r="B65" s="28">
        <v>90</v>
      </c>
      <c r="C65" s="25">
        <f t="shared" si="6"/>
        <v>18</v>
      </c>
      <c r="D65" s="25">
        <v>89</v>
      </c>
      <c r="E65" s="25">
        <f t="shared" si="7"/>
        <v>17.8</v>
      </c>
      <c r="F65" s="41">
        <v>100</v>
      </c>
      <c r="G65" s="25">
        <f t="shared" si="8"/>
        <v>10</v>
      </c>
      <c r="H65" s="25">
        <f t="shared" si="9"/>
        <v>45.8</v>
      </c>
      <c r="I65" s="25">
        <v>86</v>
      </c>
      <c r="J65" s="25">
        <f t="shared" si="10"/>
        <v>43</v>
      </c>
      <c r="K65" s="26">
        <f t="shared" si="11"/>
        <v>89</v>
      </c>
    </row>
    <row r="66" spans="1:11" x14ac:dyDescent="0.25">
      <c r="A66" s="27" t="s">
        <v>123</v>
      </c>
      <c r="B66" s="28">
        <v>80</v>
      </c>
      <c r="C66" s="25">
        <f t="shared" si="6"/>
        <v>16</v>
      </c>
      <c r="D66" s="25">
        <v>77</v>
      </c>
      <c r="E66" s="25">
        <f t="shared" si="7"/>
        <v>15.4</v>
      </c>
      <c r="F66" s="41">
        <v>100</v>
      </c>
      <c r="G66" s="25">
        <f t="shared" si="8"/>
        <v>10</v>
      </c>
      <c r="H66" s="25">
        <f t="shared" si="9"/>
        <v>41.4</v>
      </c>
      <c r="I66" s="25">
        <v>68</v>
      </c>
      <c r="J66" s="25">
        <f t="shared" si="10"/>
        <v>34</v>
      </c>
      <c r="K66" s="26">
        <f t="shared" si="11"/>
        <v>75</v>
      </c>
    </row>
    <row r="67" spans="1:11" x14ac:dyDescent="0.25">
      <c r="A67" s="27" t="s">
        <v>124</v>
      </c>
      <c r="B67" s="28">
        <v>100</v>
      </c>
      <c r="C67" s="25">
        <f t="shared" si="6"/>
        <v>20</v>
      </c>
      <c r="D67" s="25">
        <v>59</v>
      </c>
      <c r="E67" s="25">
        <f t="shared" si="7"/>
        <v>11.8</v>
      </c>
      <c r="F67" s="41">
        <v>100</v>
      </c>
      <c r="G67" s="25">
        <f t="shared" si="8"/>
        <v>10</v>
      </c>
      <c r="H67" s="25">
        <f t="shared" si="9"/>
        <v>41.8</v>
      </c>
      <c r="I67" s="25">
        <v>73</v>
      </c>
      <c r="J67" s="25">
        <f t="shared" si="10"/>
        <v>36.5</v>
      </c>
      <c r="K67" s="26">
        <f t="shared" ref="K67:K80" si="12">ROUND(H67+J67,0)</f>
        <v>78</v>
      </c>
    </row>
    <row r="68" spans="1:11" x14ac:dyDescent="0.25">
      <c r="A68" s="27" t="s">
        <v>125</v>
      </c>
      <c r="B68" s="28">
        <v>85</v>
      </c>
      <c r="C68" s="25">
        <f t="shared" si="6"/>
        <v>17</v>
      </c>
      <c r="D68" s="25">
        <v>65</v>
      </c>
      <c r="E68" s="25">
        <f t="shared" si="7"/>
        <v>13</v>
      </c>
      <c r="F68" s="41">
        <v>100</v>
      </c>
      <c r="G68" s="25">
        <f t="shared" si="8"/>
        <v>10</v>
      </c>
      <c r="H68" s="25">
        <f t="shared" si="9"/>
        <v>40</v>
      </c>
      <c r="I68" s="25">
        <v>58</v>
      </c>
      <c r="J68" s="25">
        <f t="shared" si="10"/>
        <v>29</v>
      </c>
      <c r="K68" s="26">
        <f t="shared" si="12"/>
        <v>69</v>
      </c>
    </row>
    <row r="69" spans="1:11" x14ac:dyDescent="0.25">
      <c r="A69" s="27" t="s">
        <v>126</v>
      </c>
      <c r="B69" s="28">
        <v>95</v>
      </c>
      <c r="C69" s="25">
        <f t="shared" si="6"/>
        <v>19</v>
      </c>
      <c r="D69" s="25">
        <v>89</v>
      </c>
      <c r="E69" s="25">
        <f t="shared" si="7"/>
        <v>17.8</v>
      </c>
      <c r="F69" s="41">
        <v>100</v>
      </c>
      <c r="G69" s="25">
        <f t="shared" si="8"/>
        <v>10</v>
      </c>
      <c r="H69" s="25">
        <f t="shared" si="9"/>
        <v>46.8</v>
      </c>
      <c r="I69" s="25">
        <v>88</v>
      </c>
      <c r="J69" s="25">
        <f t="shared" si="10"/>
        <v>44</v>
      </c>
      <c r="K69" s="26">
        <f t="shared" si="12"/>
        <v>91</v>
      </c>
    </row>
    <row r="70" spans="1:11" x14ac:dyDescent="0.25">
      <c r="A70" s="27" t="s">
        <v>127</v>
      </c>
      <c r="B70" s="28">
        <v>100</v>
      </c>
      <c r="C70" s="25">
        <f t="shared" si="6"/>
        <v>20</v>
      </c>
      <c r="D70" s="25">
        <v>83</v>
      </c>
      <c r="E70" s="25">
        <f t="shared" si="7"/>
        <v>16.600000000000001</v>
      </c>
      <c r="F70" s="41">
        <v>100</v>
      </c>
      <c r="G70" s="25">
        <f t="shared" si="8"/>
        <v>10</v>
      </c>
      <c r="H70" s="25">
        <f t="shared" si="9"/>
        <v>46.6</v>
      </c>
      <c r="I70" s="25">
        <v>85</v>
      </c>
      <c r="J70" s="25">
        <f t="shared" si="10"/>
        <v>42.5</v>
      </c>
      <c r="K70" s="26">
        <f t="shared" si="12"/>
        <v>89</v>
      </c>
    </row>
    <row r="71" spans="1:11" x14ac:dyDescent="0.25">
      <c r="A71" s="27" t="s">
        <v>128</v>
      </c>
      <c r="B71" s="28">
        <v>95</v>
      </c>
      <c r="C71" s="25">
        <f t="shared" si="6"/>
        <v>19</v>
      </c>
      <c r="D71" s="25">
        <v>81</v>
      </c>
      <c r="E71" s="25">
        <f t="shared" si="7"/>
        <v>16.2</v>
      </c>
      <c r="F71" s="41">
        <v>100</v>
      </c>
      <c r="G71" s="25">
        <f t="shared" si="8"/>
        <v>10</v>
      </c>
      <c r="H71" s="25">
        <f t="shared" si="9"/>
        <v>45.2</v>
      </c>
      <c r="I71" s="25">
        <v>91</v>
      </c>
      <c r="J71" s="25">
        <f t="shared" si="10"/>
        <v>45.5</v>
      </c>
      <c r="K71" s="26">
        <f t="shared" si="12"/>
        <v>91</v>
      </c>
    </row>
    <row r="72" spans="1:11" x14ac:dyDescent="0.25">
      <c r="A72" s="27" t="s">
        <v>129</v>
      </c>
      <c r="B72" s="28">
        <v>60</v>
      </c>
      <c r="C72" s="25">
        <f t="shared" si="6"/>
        <v>12</v>
      </c>
      <c r="D72" s="25">
        <v>60</v>
      </c>
      <c r="E72" s="25">
        <f t="shared" si="7"/>
        <v>12</v>
      </c>
      <c r="F72" s="41">
        <v>100</v>
      </c>
      <c r="G72" s="25">
        <f t="shared" si="8"/>
        <v>10</v>
      </c>
      <c r="H72" s="25">
        <f t="shared" si="9"/>
        <v>34</v>
      </c>
      <c r="I72" s="25">
        <v>61</v>
      </c>
      <c r="J72" s="25">
        <f t="shared" si="10"/>
        <v>30.5</v>
      </c>
      <c r="K72" s="26">
        <f t="shared" si="12"/>
        <v>65</v>
      </c>
    </row>
    <row r="73" spans="1:11" x14ac:dyDescent="0.25">
      <c r="A73" s="27" t="s">
        <v>130</v>
      </c>
      <c r="B73" s="28">
        <v>95</v>
      </c>
      <c r="C73" s="25">
        <f t="shared" si="6"/>
        <v>19</v>
      </c>
      <c r="D73" s="25">
        <v>92</v>
      </c>
      <c r="E73" s="25">
        <f t="shared" si="7"/>
        <v>18.400000000000002</v>
      </c>
      <c r="F73" s="41">
        <v>100</v>
      </c>
      <c r="G73" s="25">
        <f t="shared" si="8"/>
        <v>10</v>
      </c>
      <c r="H73" s="25">
        <f t="shared" si="9"/>
        <v>47.400000000000006</v>
      </c>
      <c r="I73" s="25">
        <v>65</v>
      </c>
      <c r="J73" s="25">
        <f t="shared" si="10"/>
        <v>32.5</v>
      </c>
      <c r="K73" s="26">
        <f t="shared" si="12"/>
        <v>80</v>
      </c>
    </row>
    <row r="74" spans="1:11" x14ac:dyDescent="0.25">
      <c r="A74" s="27" t="s">
        <v>131</v>
      </c>
      <c r="B74" s="28">
        <v>75</v>
      </c>
      <c r="C74" s="25">
        <f t="shared" si="6"/>
        <v>15</v>
      </c>
      <c r="D74" s="25">
        <v>80</v>
      </c>
      <c r="E74" s="25">
        <f t="shared" si="7"/>
        <v>16</v>
      </c>
      <c r="F74" s="41">
        <v>100</v>
      </c>
      <c r="G74" s="25">
        <f t="shared" si="8"/>
        <v>10</v>
      </c>
      <c r="H74" s="25">
        <f t="shared" si="9"/>
        <v>41</v>
      </c>
      <c r="I74" s="25">
        <v>72</v>
      </c>
      <c r="J74" s="25">
        <f t="shared" si="10"/>
        <v>36</v>
      </c>
      <c r="K74" s="26">
        <f t="shared" si="12"/>
        <v>77</v>
      </c>
    </row>
    <row r="75" spans="1:11" x14ac:dyDescent="0.25">
      <c r="A75" s="27" t="s">
        <v>132</v>
      </c>
      <c r="B75" s="28">
        <v>95</v>
      </c>
      <c r="C75" s="25">
        <f t="shared" si="6"/>
        <v>19</v>
      </c>
      <c r="D75" s="25">
        <v>100</v>
      </c>
      <c r="E75" s="25">
        <f t="shared" si="7"/>
        <v>20</v>
      </c>
      <c r="F75" s="41">
        <v>100</v>
      </c>
      <c r="G75" s="25">
        <f t="shared" si="8"/>
        <v>10</v>
      </c>
      <c r="H75" s="25">
        <f t="shared" si="9"/>
        <v>49</v>
      </c>
      <c r="I75" s="25">
        <v>91</v>
      </c>
      <c r="J75" s="25">
        <f t="shared" si="10"/>
        <v>45.5</v>
      </c>
      <c r="K75" s="26">
        <f t="shared" si="12"/>
        <v>95</v>
      </c>
    </row>
    <row r="76" spans="1:11" x14ac:dyDescent="0.25">
      <c r="A76" s="27" t="s">
        <v>133</v>
      </c>
      <c r="B76" s="28">
        <v>95</v>
      </c>
      <c r="C76" s="25">
        <f t="shared" si="6"/>
        <v>19</v>
      </c>
      <c r="D76" s="25">
        <v>89</v>
      </c>
      <c r="E76" s="25">
        <f t="shared" si="7"/>
        <v>17.8</v>
      </c>
      <c r="F76" s="41">
        <v>100</v>
      </c>
      <c r="G76" s="25">
        <f t="shared" si="8"/>
        <v>10</v>
      </c>
      <c r="H76" s="25">
        <f t="shared" si="9"/>
        <v>46.8</v>
      </c>
      <c r="I76" s="25">
        <v>69</v>
      </c>
      <c r="J76" s="25">
        <f t="shared" si="10"/>
        <v>34.5</v>
      </c>
      <c r="K76" s="26">
        <f t="shared" si="12"/>
        <v>81</v>
      </c>
    </row>
    <row r="77" spans="1:11" x14ac:dyDescent="0.25">
      <c r="A77" s="27" t="s">
        <v>134</v>
      </c>
      <c r="B77" s="28">
        <v>100</v>
      </c>
      <c r="C77" s="25">
        <f t="shared" si="6"/>
        <v>20</v>
      </c>
      <c r="D77" s="25">
        <v>97</v>
      </c>
      <c r="E77" s="25">
        <f t="shared" si="7"/>
        <v>19.400000000000002</v>
      </c>
      <c r="F77" s="41">
        <v>100</v>
      </c>
      <c r="G77" s="25">
        <f t="shared" si="8"/>
        <v>10</v>
      </c>
      <c r="H77" s="25">
        <f t="shared" si="9"/>
        <v>49.400000000000006</v>
      </c>
      <c r="I77" s="25">
        <v>93</v>
      </c>
      <c r="J77" s="25">
        <f t="shared" si="10"/>
        <v>46.5</v>
      </c>
      <c r="K77" s="26">
        <f t="shared" si="12"/>
        <v>96</v>
      </c>
    </row>
    <row r="78" spans="1:11" x14ac:dyDescent="0.25">
      <c r="A78" s="27" t="s">
        <v>135</v>
      </c>
      <c r="B78" s="28">
        <v>95</v>
      </c>
      <c r="C78" s="25">
        <f t="shared" si="6"/>
        <v>19</v>
      </c>
      <c r="D78" s="25">
        <v>93</v>
      </c>
      <c r="E78" s="25">
        <f t="shared" si="7"/>
        <v>18.600000000000001</v>
      </c>
      <c r="F78" s="41">
        <v>100</v>
      </c>
      <c r="G78" s="25">
        <f t="shared" si="8"/>
        <v>10</v>
      </c>
      <c r="H78" s="25">
        <f t="shared" si="9"/>
        <v>47.6</v>
      </c>
      <c r="I78" s="25">
        <v>93</v>
      </c>
      <c r="J78" s="25">
        <f t="shared" si="10"/>
        <v>46.5</v>
      </c>
      <c r="K78" s="26">
        <f t="shared" si="12"/>
        <v>94</v>
      </c>
    </row>
    <row r="79" spans="1:11" x14ac:dyDescent="0.25">
      <c r="A79" s="27" t="s">
        <v>136</v>
      </c>
      <c r="B79" s="28">
        <v>75</v>
      </c>
      <c r="C79" s="25">
        <f t="shared" si="6"/>
        <v>15</v>
      </c>
      <c r="D79" s="25">
        <v>71</v>
      </c>
      <c r="E79" s="25">
        <f t="shared" si="7"/>
        <v>14.200000000000001</v>
      </c>
      <c r="F79" s="41">
        <v>100</v>
      </c>
      <c r="G79" s="25">
        <f t="shared" si="8"/>
        <v>10</v>
      </c>
      <c r="H79" s="25">
        <f t="shared" si="9"/>
        <v>39.200000000000003</v>
      </c>
      <c r="I79" s="25">
        <v>75</v>
      </c>
      <c r="J79" s="25">
        <f t="shared" si="10"/>
        <v>37.5</v>
      </c>
      <c r="K79" s="26">
        <f t="shared" si="12"/>
        <v>77</v>
      </c>
    </row>
    <row r="80" spans="1:11" x14ac:dyDescent="0.25">
      <c r="A80" s="29" t="s">
        <v>137</v>
      </c>
      <c r="B80" s="30">
        <v>90</v>
      </c>
      <c r="C80" s="31">
        <f t="shared" si="6"/>
        <v>18</v>
      </c>
      <c r="D80" s="31">
        <v>99</v>
      </c>
      <c r="E80" s="31">
        <f t="shared" si="7"/>
        <v>19.8</v>
      </c>
      <c r="F80" s="41">
        <v>100</v>
      </c>
      <c r="G80" s="31">
        <f t="shared" si="8"/>
        <v>10</v>
      </c>
      <c r="H80" s="31">
        <f t="shared" si="9"/>
        <v>47.8</v>
      </c>
      <c r="I80" s="31">
        <v>93</v>
      </c>
      <c r="J80" s="31">
        <f t="shared" si="10"/>
        <v>46.5</v>
      </c>
      <c r="K80" s="32">
        <f t="shared" si="12"/>
        <v>94</v>
      </c>
    </row>
  </sheetData>
  <mergeCells count="1">
    <mergeCell ref="D1:J1"/>
  </mergeCells>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1E3C-ABB7-4BF2-91DF-7AF7B5A82481}">
  <sheetPr codeName="Sheet12"/>
  <dimension ref="A2:P80"/>
  <sheetViews>
    <sheetView topLeftCell="A66" workbookViewId="0">
      <selection activeCell="J87" sqref="J87"/>
    </sheetView>
  </sheetViews>
  <sheetFormatPr defaultRowHeight="15" x14ac:dyDescent="0.25"/>
  <cols>
    <col min="1" max="1" width="33.140625" bestFit="1" customWidth="1"/>
    <col min="3" max="3" width="8" bestFit="1" customWidth="1"/>
    <col min="4" max="4" width="9.5703125" bestFit="1" customWidth="1"/>
    <col min="5" max="5" width="14.42578125" bestFit="1" customWidth="1"/>
    <col min="6" max="6" width="14" bestFit="1" customWidth="1"/>
    <col min="9" max="9" width="12.42578125" bestFit="1" customWidth="1"/>
    <col min="10" max="10" width="17.28515625" bestFit="1" customWidth="1"/>
  </cols>
  <sheetData>
    <row r="2" spans="1:16" x14ac:dyDescent="0.25">
      <c r="A2" s="33" t="s">
        <v>0</v>
      </c>
      <c r="B2" s="34" t="s">
        <v>1</v>
      </c>
      <c r="C2" s="34" t="s">
        <v>48</v>
      </c>
      <c r="D2" s="34" t="s">
        <v>3</v>
      </c>
      <c r="E2" s="34" t="s">
        <v>49</v>
      </c>
      <c r="F2" s="34" t="s">
        <v>50</v>
      </c>
      <c r="G2" s="34" t="s">
        <v>51</v>
      </c>
      <c r="H2" s="34" t="s">
        <v>52</v>
      </c>
      <c r="I2" s="34" t="s">
        <v>2</v>
      </c>
      <c r="J2" s="34" t="s">
        <v>4</v>
      </c>
      <c r="K2" s="34" t="s">
        <v>5</v>
      </c>
      <c r="M2" t="s">
        <v>84</v>
      </c>
      <c r="N2" t="s">
        <v>36</v>
      </c>
      <c r="O2" t="s">
        <v>37</v>
      </c>
      <c r="P2" t="s">
        <v>38</v>
      </c>
    </row>
    <row r="3" spans="1:16" x14ac:dyDescent="0.25">
      <c r="A3" s="24" t="s">
        <v>20</v>
      </c>
      <c r="B3" s="25">
        <v>95</v>
      </c>
      <c r="C3" s="25">
        <f>B3*20%</f>
        <v>19</v>
      </c>
      <c r="D3" s="25">
        <v>89</v>
      </c>
      <c r="E3" s="25">
        <f>D3*20%</f>
        <v>17.8</v>
      </c>
      <c r="F3" s="25">
        <v>100</v>
      </c>
      <c r="G3" s="25">
        <f>F3*10%</f>
        <v>10</v>
      </c>
      <c r="H3" s="25">
        <f>C3+E3+G3</f>
        <v>46.8</v>
      </c>
      <c r="I3" s="25">
        <v>96</v>
      </c>
      <c r="J3" s="25">
        <f>I3*50%</f>
        <v>48</v>
      </c>
      <c r="K3" s="25">
        <f t="shared" ref="K3:K34" si="0">ROUND(H3+J3,0)</f>
        <v>95</v>
      </c>
      <c r="M3" t="s">
        <v>33</v>
      </c>
      <c r="N3">
        <f>AVERAGE(B2:B80)</f>
        <v>80.705128205128204</v>
      </c>
      <c r="O3">
        <f>AVERAGE(D2:D80)</f>
        <v>62.153846153846153</v>
      </c>
      <c r="P3">
        <f>AVERAGE(I2:I81)</f>
        <v>81.07692307692308</v>
      </c>
    </row>
    <row r="4" spans="1:16" x14ac:dyDescent="0.25">
      <c r="A4" s="24" t="s">
        <v>18</v>
      </c>
      <c r="B4" s="25">
        <v>80</v>
      </c>
      <c r="C4" s="25">
        <f t="shared" ref="C4:C29" si="1">B4*20%</f>
        <v>16</v>
      </c>
      <c r="D4" s="25">
        <v>52</v>
      </c>
      <c r="E4" s="25">
        <f t="shared" ref="E4:E29" si="2">D4*20%</f>
        <v>10.4</v>
      </c>
      <c r="F4" s="25">
        <v>100</v>
      </c>
      <c r="G4" s="25">
        <f t="shared" ref="G4:G29" si="3">F4*10%</f>
        <v>10</v>
      </c>
      <c r="H4" s="25">
        <f t="shared" ref="H4:H29" si="4">C4+E4+G4</f>
        <v>36.4</v>
      </c>
      <c r="I4" s="25">
        <v>86</v>
      </c>
      <c r="J4" s="25">
        <f>I4*50%</f>
        <v>43</v>
      </c>
      <c r="K4" s="25">
        <f t="shared" si="0"/>
        <v>79</v>
      </c>
      <c r="M4" t="s">
        <v>34</v>
      </c>
      <c r="N4">
        <f>MAX(B2:B80)</f>
        <v>100</v>
      </c>
      <c r="O4">
        <f>MAX(D2:D80)</f>
        <v>93</v>
      </c>
      <c r="P4">
        <f>MAX(I2:I80)</f>
        <v>100</v>
      </c>
    </row>
    <row r="5" spans="1:16" x14ac:dyDescent="0.25">
      <c r="A5" s="24" t="s">
        <v>32</v>
      </c>
      <c r="B5" s="25">
        <v>80</v>
      </c>
      <c r="C5" s="25">
        <f t="shared" si="1"/>
        <v>16</v>
      </c>
      <c r="D5" s="25">
        <v>67</v>
      </c>
      <c r="E5" s="25">
        <f t="shared" si="2"/>
        <v>13.4</v>
      </c>
      <c r="F5" s="25">
        <v>100</v>
      </c>
      <c r="G5" s="25">
        <f t="shared" si="3"/>
        <v>10</v>
      </c>
      <c r="H5" s="25">
        <f t="shared" si="4"/>
        <v>39.4</v>
      </c>
      <c r="I5" s="25">
        <v>84</v>
      </c>
      <c r="J5" s="25">
        <f t="shared" ref="J5:J29" si="5">I5*50%</f>
        <v>42</v>
      </c>
      <c r="K5" s="25">
        <f t="shared" si="0"/>
        <v>81</v>
      </c>
      <c r="M5" t="s">
        <v>35</v>
      </c>
      <c r="N5">
        <f>MIN(B2:B80)</f>
        <v>35</v>
      </c>
      <c r="O5">
        <f>MIN(D2:D80)</f>
        <v>25</v>
      </c>
      <c r="P5">
        <f>MIN(J2:J80)</f>
        <v>19</v>
      </c>
    </row>
    <row r="6" spans="1:16" x14ac:dyDescent="0.25">
      <c r="A6" s="24" t="s">
        <v>7</v>
      </c>
      <c r="B6" s="25">
        <v>95</v>
      </c>
      <c r="C6" s="25">
        <f t="shared" si="1"/>
        <v>19</v>
      </c>
      <c r="D6" s="25">
        <v>67</v>
      </c>
      <c r="E6" s="25">
        <f t="shared" si="2"/>
        <v>13.4</v>
      </c>
      <c r="F6" s="25">
        <v>100</v>
      </c>
      <c r="G6" s="25">
        <f t="shared" si="3"/>
        <v>10</v>
      </c>
      <c r="H6" s="25">
        <f t="shared" si="4"/>
        <v>42.4</v>
      </c>
      <c r="I6" s="25">
        <v>80</v>
      </c>
      <c r="J6" s="25">
        <f t="shared" si="5"/>
        <v>40</v>
      </c>
      <c r="K6" s="25">
        <f t="shared" si="0"/>
        <v>82</v>
      </c>
    </row>
    <row r="7" spans="1:16" x14ac:dyDescent="0.25">
      <c r="A7" s="24" t="s">
        <v>19</v>
      </c>
      <c r="B7" s="25">
        <v>100</v>
      </c>
      <c r="C7" s="25">
        <f t="shared" si="1"/>
        <v>20</v>
      </c>
      <c r="D7" s="25">
        <v>64</v>
      </c>
      <c r="E7" s="25">
        <f t="shared" si="2"/>
        <v>12.8</v>
      </c>
      <c r="F7" s="25">
        <v>100</v>
      </c>
      <c r="G7" s="25">
        <f t="shared" si="3"/>
        <v>10</v>
      </c>
      <c r="H7" s="25">
        <f t="shared" si="4"/>
        <v>42.8</v>
      </c>
      <c r="I7" s="25">
        <v>78</v>
      </c>
      <c r="J7" s="25">
        <f t="shared" si="5"/>
        <v>39</v>
      </c>
      <c r="K7" s="25">
        <f t="shared" si="0"/>
        <v>82</v>
      </c>
    </row>
    <row r="8" spans="1:16" x14ac:dyDescent="0.25">
      <c r="A8" s="24" t="s">
        <v>9</v>
      </c>
      <c r="B8" s="25">
        <v>90</v>
      </c>
      <c r="C8" s="25">
        <f t="shared" si="1"/>
        <v>18</v>
      </c>
      <c r="D8" s="25">
        <v>82</v>
      </c>
      <c r="E8" s="25">
        <f t="shared" si="2"/>
        <v>16.400000000000002</v>
      </c>
      <c r="F8" s="25">
        <v>100</v>
      </c>
      <c r="G8" s="25">
        <f t="shared" si="3"/>
        <v>10</v>
      </c>
      <c r="H8" s="25">
        <f t="shared" si="4"/>
        <v>44.400000000000006</v>
      </c>
      <c r="I8" s="25">
        <v>92</v>
      </c>
      <c r="J8" s="25">
        <f t="shared" si="5"/>
        <v>46</v>
      </c>
      <c r="K8" s="25">
        <f t="shared" si="0"/>
        <v>90</v>
      </c>
    </row>
    <row r="9" spans="1:16" x14ac:dyDescent="0.25">
      <c r="A9" s="24" t="s">
        <v>21</v>
      </c>
      <c r="B9" s="25">
        <v>100</v>
      </c>
      <c r="C9" s="25">
        <f t="shared" si="1"/>
        <v>20</v>
      </c>
      <c r="D9" s="25">
        <v>78</v>
      </c>
      <c r="E9" s="25">
        <f t="shared" si="2"/>
        <v>15.600000000000001</v>
      </c>
      <c r="F9" s="25">
        <v>100</v>
      </c>
      <c r="G9" s="25">
        <f t="shared" si="3"/>
        <v>10</v>
      </c>
      <c r="H9" s="25">
        <f t="shared" si="4"/>
        <v>45.6</v>
      </c>
      <c r="I9" s="25">
        <v>90</v>
      </c>
      <c r="J9" s="25">
        <f t="shared" si="5"/>
        <v>45</v>
      </c>
      <c r="K9" s="25">
        <f t="shared" si="0"/>
        <v>91</v>
      </c>
    </row>
    <row r="10" spans="1:16" x14ac:dyDescent="0.25">
      <c r="A10" s="24" t="s">
        <v>8</v>
      </c>
      <c r="B10" s="25">
        <v>90</v>
      </c>
      <c r="C10" s="25">
        <f t="shared" si="1"/>
        <v>18</v>
      </c>
      <c r="D10" s="25">
        <v>72</v>
      </c>
      <c r="E10" s="25">
        <f t="shared" si="2"/>
        <v>14.4</v>
      </c>
      <c r="F10" s="25">
        <v>100</v>
      </c>
      <c r="G10" s="25">
        <f t="shared" si="3"/>
        <v>10</v>
      </c>
      <c r="H10" s="25">
        <f t="shared" si="4"/>
        <v>42.4</v>
      </c>
      <c r="I10" s="25">
        <v>84</v>
      </c>
      <c r="J10" s="25">
        <f t="shared" si="5"/>
        <v>42</v>
      </c>
      <c r="K10" s="25">
        <f t="shared" si="0"/>
        <v>84</v>
      </c>
    </row>
    <row r="11" spans="1:16" x14ac:dyDescent="0.25">
      <c r="A11" s="24" t="s">
        <v>10</v>
      </c>
      <c r="B11" s="25">
        <v>100</v>
      </c>
      <c r="C11" s="25">
        <f t="shared" si="1"/>
        <v>20</v>
      </c>
      <c r="D11" s="25">
        <v>73</v>
      </c>
      <c r="E11" s="25">
        <f t="shared" si="2"/>
        <v>14.600000000000001</v>
      </c>
      <c r="F11" s="25">
        <v>100</v>
      </c>
      <c r="G11" s="25">
        <f t="shared" si="3"/>
        <v>10</v>
      </c>
      <c r="H11" s="25">
        <f t="shared" si="4"/>
        <v>44.6</v>
      </c>
      <c r="I11" s="25">
        <v>92</v>
      </c>
      <c r="J11" s="25">
        <f t="shared" si="5"/>
        <v>46</v>
      </c>
      <c r="K11" s="25">
        <f t="shared" si="0"/>
        <v>91</v>
      </c>
    </row>
    <row r="12" spans="1:16" x14ac:dyDescent="0.25">
      <c r="A12" s="24" t="s">
        <v>6</v>
      </c>
      <c r="B12" s="25">
        <v>80</v>
      </c>
      <c r="C12" s="25">
        <f t="shared" si="1"/>
        <v>16</v>
      </c>
      <c r="D12" s="25">
        <v>47</v>
      </c>
      <c r="E12" s="25">
        <f t="shared" si="2"/>
        <v>9.4</v>
      </c>
      <c r="F12" s="25">
        <v>100</v>
      </c>
      <c r="G12" s="25">
        <f t="shared" si="3"/>
        <v>10</v>
      </c>
      <c r="H12" s="25">
        <f t="shared" si="4"/>
        <v>35.4</v>
      </c>
      <c r="I12" s="25">
        <v>90</v>
      </c>
      <c r="J12" s="25">
        <f t="shared" si="5"/>
        <v>45</v>
      </c>
      <c r="K12" s="25">
        <f t="shared" si="0"/>
        <v>80</v>
      </c>
    </row>
    <row r="13" spans="1:16" x14ac:dyDescent="0.25">
      <c r="A13" s="24" t="s">
        <v>17</v>
      </c>
      <c r="B13" s="25">
        <v>80</v>
      </c>
      <c r="C13" s="25">
        <f t="shared" si="1"/>
        <v>16</v>
      </c>
      <c r="D13" s="25">
        <v>60</v>
      </c>
      <c r="E13" s="25">
        <f t="shared" si="2"/>
        <v>12</v>
      </c>
      <c r="F13" s="25">
        <v>100</v>
      </c>
      <c r="G13" s="25">
        <f t="shared" si="3"/>
        <v>10</v>
      </c>
      <c r="H13" s="25">
        <f t="shared" si="4"/>
        <v>38</v>
      </c>
      <c r="I13" s="25">
        <v>80</v>
      </c>
      <c r="J13" s="25">
        <f t="shared" si="5"/>
        <v>40</v>
      </c>
      <c r="K13" s="25">
        <f t="shared" si="0"/>
        <v>78</v>
      </c>
    </row>
    <row r="14" spans="1:16" x14ac:dyDescent="0.25">
      <c r="A14" s="24" t="s">
        <v>22</v>
      </c>
      <c r="B14" s="25">
        <v>75</v>
      </c>
      <c r="C14" s="25">
        <f t="shared" si="1"/>
        <v>15</v>
      </c>
      <c r="D14" s="25">
        <v>82</v>
      </c>
      <c r="E14" s="25">
        <f t="shared" si="2"/>
        <v>16.400000000000002</v>
      </c>
      <c r="F14" s="25">
        <v>100</v>
      </c>
      <c r="G14" s="25">
        <f t="shared" si="3"/>
        <v>10</v>
      </c>
      <c r="H14" s="25">
        <f t="shared" si="4"/>
        <v>41.400000000000006</v>
      </c>
      <c r="I14" s="25">
        <v>92</v>
      </c>
      <c r="J14" s="25">
        <f t="shared" si="5"/>
        <v>46</v>
      </c>
      <c r="K14" s="25">
        <f t="shared" si="0"/>
        <v>87</v>
      </c>
    </row>
    <row r="15" spans="1:16" x14ac:dyDescent="0.25">
      <c r="A15" s="24" t="s">
        <v>11</v>
      </c>
      <c r="B15" s="25">
        <v>90</v>
      </c>
      <c r="C15" s="25">
        <f t="shared" si="1"/>
        <v>18</v>
      </c>
      <c r="D15" s="25">
        <v>86</v>
      </c>
      <c r="E15" s="25">
        <f t="shared" si="2"/>
        <v>17.2</v>
      </c>
      <c r="F15" s="25">
        <v>100</v>
      </c>
      <c r="G15" s="25">
        <f t="shared" si="3"/>
        <v>10</v>
      </c>
      <c r="H15" s="25">
        <f t="shared" si="4"/>
        <v>45.2</v>
      </c>
      <c r="I15" s="25">
        <v>82</v>
      </c>
      <c r="J15" s="25">
        <f t="shared" si="5"/>
        <v>41</v>
      </c>
      <c r="K15" s="25">
        <f t="shared" si="0"/>
        <v>86</v>
      </c>
    </row>
    <row r="16" spans="1:16" x14ac:dyDescent="0.25">
      <c r="A16" s="24" t="s">
        <v>23</v>
      </c>
      <c r="B16" s="25">
        <v>95</v>
      </c>
      <c r="C16" s="25">
        <f t="shared" si="1"/>
        <v>19</v>
      </c>
      <c r="D16" s="25">
        <v>58</v>
      </c>
      <c r="E16" s="25">
        <f t="shared" si="2"/>
        <v>11.600000000000001</v>
      </c>
      <c r="F16" s="25">
        <v>100</v>
      </c>
      <c r="G16" s="25">
        <f t="shared" si="3"/>
        <v>10</v>
      </c>
      <c r="H16" s="25">
        <f t="shared" si="4"/>
        <v>40.6</v>
      </c>
      <c r="I16" s="25">
        <v>82</v>
      </c>
      <c r="J16" s="25">
        <f t="shared" si="5"/>
        <v>41</v>
      </c>
      <c r="K16" s="25">
        <f t="shared" si="0"/>
        <v>82</v>
      </c>
    </row>
    <row r="17" spans="1:11" x14ac:dyDescent="0.25">
      <c r="A17" s="24" t="s">
        <v>12</v>
      </c>
      <c r="B17" s="25">
        <v>85</v>
      </c>
      <c r="C17" s="25">
        <f t="shared" si="1"/>
        <v>17</v>
      </c>
      <c r="D17" s="25">
        <v>43</v>
      </c>
      <c r="E17" s="25">
        <f t="shared" si="2"/>
        <v>8.6</v>
      </c>
      <c r="F17" s="25">
        <v>100</v>
      </c>
      <c r="G17" s="25">
        <f t="shared" si="3"/>
        <v>10</v>
      </c>
      <c r="H17" s="25">
        <f t="shared" si="4"/>
        <v>35.6</v>
      </c>
      <c r="I17" s="25">
        <v>48</v>
      </c>
      <c r="J17" s="25">
        <f t="shared" si="5"/>
        <v>24</v>
      </c>
      <c r="K17" s="25">
        <f t="shared" si="0"/>
        <v>60</v>
      </c>
    </row>
    <row r="18" spans="1:11" x14ac:dyDescent="0.25">
      <c r="A18" s="24" t="s">
        <v>13</v>
      </c>
      <c r="B18" s="25">
        <v>80</v>
      </c>
      <c r="C18" s="25">
        <f t="shared" si="1"/>
        <v>16</v>
      </c>
      <c r="D18" s="25">
        <v>60</v>
      </c>
      <c r="E18" s="25">
        <f t="shared" si="2"/>
        <v>12</v>
      </c>
      <c r="F18" s="25">
        <v>100</v>
      </c>
      <c r="G18" s="25">
        <f t="shared" si="3"/>
        <v>10</v>
      </c>
      <c r="H18" s="25">
        <f t="shared" si="4"/>
        <v>38</v>
      </c>
      <c r="I18" s="25">
        <v>74</v>
      </c>
      <c r="J18" s="25">
        <f t="shared" si="5"/>
        <v>37</v>
      </c>
      <c r="K18" s="25">
        <f t="shared" si="0"/>
        <v>75</v>
      </c>
    </row>
    <row r="19" spans="1:11" x14ac:dyDescent="0.25">
      <c r="A19" s="24" t="s">
        <v>27</v>
      </c>
      <c r="B19" s="25">
        <v>90</v>
      </c>
      <c r="C19" s="25">
        <f t="shared" si="1"/>
        <v>18</v>
      </c>
      <c r="D19" s="25">
        <v>80</v>
      </c>
      <c r="E19" s="25">
        <f t="shared" si="2"/>
        <v>16</v>
      </c>
      <c r="F19" s="25">
        <v>100</v>
      </c>
      <c r="G19" s="25">
        <f t="shared" si="3"/>
        <v>10</v>
      </c>
      <c r="H19" s="25">
        <f t="shared" si="4"/>
        <v>44</v>
      </c>
      <c r="I19" s="25">
        <v>82</v>
      </c>
      <c r="J19" s="25">
        <f t="shared" si="5"/>
        <v>41</v>
      </c>
      <c r="K19" s="25">
        <f t="shared" si="0"/>
        <v>85</v>
      </c>
    </row>
    <row r="20" spans="1:11" x14ac:dyDescent="0.25">
      <c r="A20" s="24" t="s">
        <v>24</v>
      </c>
      <c r="B20" s="25">
        <v>90</v>
      </c>
      <c r="C20" s="25">
        <f t="shared" si="1"/>
        <v>18</v>
      </c>
      <c r="D20" s="25">
        <v>85</v>
      </c>
      <c r="E20" s="25">
        <f t="shared" si="2"/>
        <v>17</v>
      </c>
      <c r="F20" s="25">
        <v>100</v>
      </c>
      <c r="G20" s="25">
        <f t="shared" si="3"/>
        <v>10</v>
      </c>
      <c r="H20" s="25">
        <f t="shared" si="4"/>
        <v>45</v>
      </c>
      <c r="I20" s="25">
        <v>74</v>
      </c>
      <c r="J20" s="25">
        <f t="shared" si="5"/>
        <v>37</v>
      </c>
      <c r="K20" s="25">
        <f t="shared" si="0"/>
        <v>82</v>
      </c>
    </row>
    <row r="21" spans="1:11" x14ac:dyDescent="0.25">
      <c r="A21" s="24" t="s">
        <v>26</v>
      </c>
      <c r="B21" s="25">
        <v>95</v>
      </c>
      <c r="C21" s="25">
        <f t="shared" si="1"/>
        <v>19</v>
      </c>
      <c r="D21" s="25">
        <v>93</v>
      </c>
      <c r="E21" s="25">
        <f t="shared" si="2"/>
        <v>18.600000000000001</v>
      </c>
      <c r="F21" s="25">
        <v>100</v>
      </c>
      <c r="G21" s="25">
        <f t="shared" si="3"/>
        <v>10</v>
      </c>
      <c r="H21" s="25">
        <f t="shared" si="4"/>
        <v>47.6</v>
      </c>
      <c r="I21" s="25">
        <v>72</v>
      </c>
      <c r="J21" s="25">
        <f t="shared" si="5"/>
        <v>36</v>
      </c>
      <c r="K21" s="25">
        <f t="shared" si="0"/>
        <v>84</v>
      </c>
    </row>
    <row r="22" spans="1:11" x14ac:dyDescent="0.25">
      <c r="A22" s="24" t="s">
        <v>28</v>
      </c>
      <c r="B22" s="25">
        <v>85</v>
      </c>
      <c r="C22" s="25">
        <f t="shared" si="1"/>
        <v>17</v>
      </c>
      <c r="D22" s="25">
        <v>50</v>
      </c>
      <c r="E22" s="25">
        <f t="shared" si="2"/>
        <v>10</v>
      </c>
      <c r="F22" s="25">
        <v>100</v>
      </c>
      <c r="G22" s="25">
        <f t="shared" si="3"/>
        <v>10</v>
      </c>
      <c r="H22" s="25">
        <f t="shared" si="4"/>
        <v>37</v>
      </c>
      <c r="I22" s="25">
        <v>76</v>
      </c>
      <c r="J22" s="25">
        <f t="shared" si="5"/>
        <v>38</v>
      </c>
      <c r="K22" s="25">
        <f t="shared" si="0"/>
        <v>75</v>
      </c>
    </row>
    <row r="23" spans="1:11" x14ac:dyDescent="0.25">
      <c r="A23" s="24" t="s">
        <v>25</v>
      </c>
      <c r="B23" s="25">
        <v>80</v>
      </c>
      <c r="C23" s="25">
        <f t="shared" si="1"/>
        <v>16</v>
      </c>
      <c r="D23" s="25">
        <v>44</v>
      </c>
      <c r="E23" s="25">
        <f t="shared" si="2"/>
        <v>8.8000000000000007</v>
      </c>
      <c r="F23" s="25">
        <v>100</v>
      </c>
      <c r="G23" s="25">
        <f t="shared" si="3"/>
        <v>10</v>
      </c>
      <c r="H23" s="25">
        <f t="shared" si="4"/>
        <v>34.799999999999997</v>
      </c>
      <c r="I23" s="25">
        <v>70</v>
      </c>
      <c r="J23" s="25">
        <f t="shared" si="5"/>
        <v>35</v>
      </c>
      <c r="K23" s="25">
        <f t="shared" si="0"/>
        <v>70</v>
      </c>
    </row>
    <row r="24" spans="1:11" x14ac:dyDescent="0.25">
      <c r="A24" s="24" t="s">
        <v>31</v>
      </c>
      <c r="B24" s="25">
        <v>95</v>
      </c>
      <c r="C24" s="25">
        <f t="shared" si="1"/>
        <v>19</v>
      </c>
      <c r="D24" s="25">
        <v>88</v>
      </c>
      <c r="E24" s="25">
        <f t="shared" si="2"/>
        <v>17.600000000000001</v>
      </c>
      <c r="F24" s="25">
        <v>100</v>
      </c>
      <c r="G24" s="25">
        <f t="shared" si="3"/>
        <v>10</v>
      </c>
      <c r="H24" s="25">
        <f t="shared" si="4"/>
        <v>46.6</v>
      </c>
      <c r="I24" s="25">
        <v>92</v>
      </c>
      <c r="J24" s="25">
        <f t="shared" si="5"/>
        <v>46</v>
      </c>
      <c r="K24" s="25">
        <f t="shared" si="0"/>
        <v>93</v>
      </c>
    </row>
    <row r="25" spans="1:11" x14ac:dyDescent="0.25">
      <c r="A25" s="24" t="s">
        <v>14</v>
      </c>
      <c r="B25" s="25">
        <v>80</v>
      </c>
      <c r="C25" s="25">
        <f t="shared" si="1"/>
        <v>16</v>
      </c>
      <c r="D25" s="25">
        <v>38</v>
      </c>
      <c r="E25" s="25">
        <f t="shared" si="2"/>
        <v>7.6000000000000005</v>
      </c>
      <c r="F25" s="25">
        <v>100</v>
      </c>
      <c r="G25" s="25">
        <f t="shared" si="3"/>
        <v>10</v>
      </c>
      <c r="H25" s="25">
        <f t="shared" si="4"/>
        <v>33.6</v>
      </c>
      <c r="I25" s="25">
        <v>76</v>
      </c>
      <c r="J25" s="25">
        <f t="shared" si="5"/>
        <v>38</v>
      </c>
      <c r="K25" s="25">
        <f t="shared" si="0"/>
        <v>72</v>
      </c>
    </row>
    <row r="26" spans="1:11" x14ac:dyDescent="0.25">
      <c r="A26" s="24" t="s">
        <v>16</v>
      </c>
      <c r="B26" s="25">
        <v>80</v>
      </c>
      <c r="C26" s="25">
        <f t="shared" si="1"/>
        <v>16</v>
      </c>
      <c r="D26" s="25">
        <v>74</v>
      </c>
      <c r="E26" s="25">
        <f t="shared" si="2"/>
        <v>14.8</v>
      </c>
      <c r="F26" s="25">
        <v>100</v>
      </c>
      <c r="G26" s="25">
        <f t="shared" si="3"/>
        <v>10</v>
      </c>
      <c r="H26" s="25">
        <f t="shared" si="4"/>
        <v>40.799999999999997</v>
      </c>
      <c r="I26" s="25">
        <v>94</v>
      </c>
      <c r="J26" s="25">
        <f t="shared" si="5"/>
        <v>47</v>
      </c>
      <c r="K26" s="25">
        <f t="shared" si="0"/>
        <v>88</v>
      </c>
    </row>
    <row r="27" spans="1:11" x14ac:dyDescent="0.25">
      <c r="A27" s="24" t="s">
        <v>29</v>
      </c>
      <c r="B27" s="25">
        <v>90</v>
      </c>
      <c r="C27" s="25">
        <f t="shared" si="1"/>
        <v>18</v>
      </c>
      <c r="D27" s="25">
        <v>60</v>
      </c>
      <c r="E27" s="25">
        <f t="shared" si="2"/>
        <v>12</v>
      </c>
      <c r="F27" s="25">
        <v>100</v>
      </c>
      <c r="G27" s="25">
        <f t="shared" si="3"/>
        <v>10</v>
      </c>
      <c r="H27" s="25">
        <f t="shared" si="4"/>
        <v>40</v>
      </c>
      <c r="I27" s="25">
        <v>96</v>
      </c>
      <c r="J27" s="25">
        <f t="shared" si="5"/>
        <v>48</v>
      </c>
      <c r="K27" s="25">
        <f t="shared" si="0"/>
        <v>88</v>
      </c>
    </row>
    <row r="28" spans="1:11" x14ac:dyDescent="0.25">
      <c r="A28" s="24" t="s">
        <v>15</v>
      </c>
      <c r="B28" s="25">
        <v>90</v>
      </c>
      <c r="C28" s="25">
        <f t="shared" si="1"/>
        <v>18</v>
      </c>
      <c r="D28" s="25">
        <v>79</v>
      </c>
      <c r="E28" s="25">
        <f t="shared" si="2"/>
        <v>15.8</v>
      </c>
      <c r="F28" s="25">
        <v>100</v>
      </c>
      <c r="G28" s="25">
        <f t="shared" si="3"/>
        <v>10</v>
      </c>
      <c r="H28" s="25">
        <f t="shared" si="4"/>
        <v>43.8</v>
      </c>
      <c r="I28" s="25">
        <v>80</v>
      </c>
      <c r="J28" s="25">
        <f t="shared" si="5"/>
        <v>40</v>
      </c>
      <c r="K28" s="25">
        <f t="shared" si="0"/>
        <v>84</v>
      </c>
    </row>
    <row r="29" spans="1:11" x14ac:dyDescent="0.25">
      <c r="A29" s="24" t="s">
        <v>30</v>
      </c>
      <c r="B29" s="25">
        <v>70</v>
      </c>
      <c r="C29" s="25">
        <f t="shared" si="1"/>
        <v>14</v>
      </c>
      <c r="D29" s="25">
        <v>48</v>
      </c>
      <c r="E29" s="25">
        <f t="shared" si="2"/>
        <v>9.6000000000000014</v>
      </c>
      <c r="F29" s="25">
        <v>100</v>
      </c>
      <c r="G29" s="25">
        <f t="shared" si="3"/>
        <v>10</v>
      </c>
      <c r="H29" s="25">
        <f t="shared" si="4"/>
        <v>33.6</v>
      </c>
      <c r="I29" s="25">
        <v>80</v>
      </c>
      <c r="J29" s="25">
        <f t="shared" si="5"/>
        <v>40</v>
      </c>
      <c r="K29" s="25">
        <f t="shared" si="0"/>
        <v>74</v>
      </c>
    </row>
    <row r="30" spans="1:11" s="57" customFormat="1" x14ac:dyDescent="0.25">
      <c r="A30" s="61" t="s">
        <v>145</v>
      </c>
      <c r="B30" s="62">
        <v>75</v>
      </c>
      <c r="C30" s="63">
        <f>B30*20%</f>
        <v>15</v>
      </c>
      <c r="D30" s="63">
        <v>55</v>
      </c>
      <c r="E30" s="63">
        <f>D30*20%</f>
        <v>11</v>
      </c>
      <c r="F30" s="63">
        <v>100</v>
      </c>
      <c r="G30" s="63">
        <f>F30*10%</f>
        <v>10</v>
      </c>
      <c r="H30" s="63">
        <f>C30+E30+G30</f>
        <v>36</v>
      </c>
      <c r="I30" s="63">
        <v>96</v>
      </c>
      <c r="J30" s="63">
        <f>I30*50%</f>
        <v>48</v>
      </c>
      <c r="K30" s="63">
        <f t="shared" si="0"/>
        <v>84</v>
      </c>
    </row>
    <row r="31" spans="1:11" x14ac:dyDescent="0.25">
      <c r="A31" s="27" t="s">
        <v>88</v>
      </c>
      <c r="B31" s="28">
        <v>75</v>
      </c>
      <c r="C31" s="25">
        <f>B31*20%</f>
        <v>15</v>
      </c>
      <c r="D31" s="25">
        <v>45</v>
      </c>
      <c r="E31" s="25">
        <f>D31*20%</f>
        <v>9</v>
      </c>
      <c r="F31" s="25">
        <v>100</v>
      </c>
      <c r="G31" s="25">
        <f>F31*10%</f>
        <v>10</v>
      </c>
      <c r="H31" s="25">
        <f>C31+E31+G31</f>
        <v>34</v>
      </c>
      <c r="I31" s="25">
        <v>67</v>
      </c>
      <c r="J31" s="25">
        <f>I31*50%</f>
        <v>33.5</v>
      </c>
      <c r="K31" s="25">
        <f t="shared" si="0"/>
        <v>68</v>
      </c>
    </row>
    <row r="32" spans="1:11" x14ac:dyDescent="0.25">
      <c r="A32" s="27" t="s">
        <v>89</v>
      </c>
      <c r="B32" s="28">
        <v>80</v>
      </c>
      <c r="C32" s="25">
        <f>B32*20%</f>
        <v>16</v>
      </c>
      <c r="D32" s="25">
        <v>68</v>
      </c>
      <c r="E32" s="25">
        <f>D32*20%</f>
        <v>13.600000000000001</v>
      </c>
      <c r="F32" s="25">
        <v>100</v>
      </c>
      <c r="G32" s="25">
        <f>F32*10%</f>
        <v>10</v>
      </c>
      <c r="H32" s="25">
        <f>C32+E32+G32</f>
        <v>39.6</v>
      </c>
      <c r="I32" s="25">
        <v>86</v>
      </c>
      <c r="J32" s="25">
        <f>I32*50%</f>
        <v>43</v>
      </c>
      <c r="K32" s="25">
        <f t="shared" si="0"/>
        <v>83</v>
      </c>
    </row>
    <row r="33" spans="1:11" x14ac:dyDescent="0.25">
      <c r="A33" s="27" t="s">
        <v>90</v>
      </c>
      <c r="B33" s="28">
        <v>80</v>
      </c>
      <c r="C33" s="25">
        <f t="shared" ref="C33:C80" si="6">B33*20%</f>
        <v>16</v>
      </c>
      <c r="D33" s="25">
        <v>57</v>
      </c>
      <c r="E33" s="25">
        <f t="shared" ref="E33:E80" si="7">D33*20%</f>
        <v>11.4</v>
      </c>
      <c r="F33" s="25">
        <v>100</v>
      </c>
      <c r="G33" s="25">
        <f t="shared" ref="G33:G80" si="8">F33*10%</f>
        <v>10</v>
      </c>
      <c r="H33" s="25">
        <f t="shared" ref="H33:H80" si="9">C33+E33+G33</f>
        <v>37.4</v>
      </c>
      <c r="I33" s="25">
        <v>78</v>
      </c>
      <c r="J33" s="25">
        <f t="shared" ref="J33:J80" si="10">I33*50%</f>
        <v>39</v>
      </c>
      <c r="K33" s="25">
        <f t="shared" si="0"/>
        <v>76</v>
      </c>
    </row>
    <row r="34" spans="1:11" x14ac:dyDescent="0.25">
      <c r="A34" s="27" t="s">
        <v>91</v>
      </c>
      <c r="B34" s="28">
        <v>85</v>
      </c>
      <c r="C34" s="25">
        <f t="shared" si="6"/>
        <v>17</v>
      </c>
      <c r="D34" s="25">
        <v>63</v>
      </c>
      <c r="E34" s="25">
        <f t="shared" si="7"/>
        <v>12.600000000000001</v>
      </c>
      <c r="F34" s="25">
        <v>100</v>
      </c>
      <c r="G34" s="25">
        <f t="shared" si="8"/>
        <v>10</v>
      </c>
      <c r="H34" s="25">
        <f t="shared" si="9"/>
        <v>39.6</v>
      </c>
      <c r="I34" s="25">
        <v>80</v>
      </c>
      <c r="J34" s="25">
        <f t="shared" si="10"/>
        <v>40</v>
      </c>
      <c r="K34" s="25">
        <f t="shared" si="0"/>
        <v>80</v>
      </c>
    </row>
    <row r="35" spans="1:11" x14ac:dyDescent="0.25">
      <c r="A35" s="27" t="s">
        <v>92</v>
      </c>
      <c r="B35" s="28">
        <v>90</v>
      </c>
      <c r="C35" s="25">
        <f t="shared" si="6"/>
        <v>18</v>
      </c>
      <c r="D35" s="25">
        <v>47</v>
      </c>
      <c r="E35" s="25">
        <f t="shared" si="7"/>
        <v>9.4</v>
      </c>
      <c r="F35" s="25">
        <v>100</v>
      </c>
      <c r="G35" s="25">
        <f t="shared" si="8"/>
        <v>10</v>
      </c>
      <c r="H35" s="25">
        <f t="shared" si="9"/>
        <v>37.4</v>
      </c>
      <c r="I35" s="25">
        <v>75</v>
      </c>
      <c r="J35" s="25">
        <f t="shared" si="10"/>
        <v>37.5</v>
      </c>
      <c r="K35" s="25">
        <f t="shared" ref="K35:K66" si="11">ROUND(H35+J35,0)</f>
        <v>75</v>
      </c>
    </row>
    <row r="36" spans="1:11" x14ac:dyDescent="0.25">
      <c r="A36" s="27" t="s">
        <v>93</v>
      </c>
      <c r="B36" s="28">
        <v>80</v>
      </c>
      <c r="C36" s="25">
        <f t="shared" si="6"/>
        <v>16</v>
      </c>
      <c r="D36" s="25">
        <v>62</v>
      </c>
      <c r="E36" s="25">
        <f t="shared" si="7"/>
        <v>12.4</v>
      </c>
      <c r="F36" s="25">
        <v>100</v>
      </c>
      <c r="G36" s="25">
        <f t="shared" si="8"/>
        <v>10</v>
      </c>
      <c r="H36" s="25">
        <f t="shared" si="9"/>
        <v>38.4</v>
      </c>
      <c r="I36" s="25">
        <v>98</v>
      </c>
      <c r="J36" s="25">
        <f t="shared" si="10"/>
        <v>49</v>
      </c>
      <c r="K36" s="25">
        <f t="shared" si="11"/>
        <v>87</v>
      </c>
    </row>
    <row r="37" spans="1:11" x14ac:dyDescent="0.25">
      <c r="A37" s="27" t="s">
        <v>94</v>
      </c>
      <c r="B37" s="28">
        <v>85</v>
      </c>
      <c r="C37" s="25">
        <f t="shared" si="6"/>
        <v>17</v>
      </c>
      <c r="D37" s="25">
        <v>53</v>
      </c>
      <c r="E37" s="25">
        <f t="shared" si="7"/>
        <v>10.600000000000001</v>
      </c>
      <c r="F37" s="25">
        <v>100</v>
      </c>
      <c r="G37" s="25">
        <f t="shared" si="8"/>
        <v>10</v>
      </c>
      <c r="H37" s="25">
        <f t="shared" si="9"/>
        <v>37.6</v>
      </c>
      <c r="I37" s="25">
        <v>96</v>
      </c>
      <c r="J37" s="25">
        <f t="shared" si="10"/>
        <v>48</v>
      </c>
      <c r="K37" s="25">
        <f t="shared" si="11"/>
        <v>86</v>
      </c>
    </row>
    <row r="38" spans="1:11" x14ac:dyDescent="0.25">
      <c r="A38" s="27" t="s">
        <v>95</v>
      </c>
      <c r="B38" s="28">
        <v>80</v>
      </c>
      <c r="C38" s="25">
        <f t="shared" si="6"/>
        <v>16</v>
      </c>
      <c r="D38" s="25">
        <v>56</v>
      </c>
      <c r="E38" s="25">
        <f t="shared" si="7"/>
        <v>11.200000000000001</v>
      </c>
      <c r="F38" s="25">
        <v>100</v>
      </c>
      <c r="G38" s="25">
        <f t="shared" si="8"/>
        <v>10</v>
      </c>
      <c r="H38" s="25">
        <f t="shared" si="9"/>
        <v>37.200000000000003</v>
      </c>
      <c r="I38" s="25">
        <v>75</v>
      </c>
      <c r="J38" s="25">
        <f t="shared" si="10"/>
        <v>37.5</v>
      </c>
      <c r="K38" s="25">
        <f t="shared" si="11"/>
        <v>75</v>
      </c>
    </row>
    <row r="39" spans="1:11" x14ac:dyDescent="0.25">
      <c r="A39" s="27" t="s">
        <v>96</v>
      </c>
      <c r="B39" s="28">
        <v>80</v>
      </c>
      <c r="C39" s="25">
        <f t="shared" si="6"/>
        <v>16</v>
      </c>
      <c r="D39" s="25">
        <v>60</v>
      </c>
      <c r="E39" s="25">
        <f t="shared" si="7"/>
        <v>12</v>
      </c>
      <c r="F39" s="25">
        <v>100</v>
      </c>
      <c r="G39" s="25">
        <f t="shared" si="8"/>
        <v>10</v>
      </c>
      <c r="H39" s="25">
        <f t="shared" si="9"/>
        <v>38</v>
      </c>
      <c r="I39" s="25">
        <v>73</v>
      </c>
      <c r="J39" s="25">
        <f t="shared" si="10"/>
        <v>36.5</v>
      </c>
      <c r="K39" s="25">
        <f t="shared" si="11"/>
        <v>75</v>
      </c>
    </row>
    <row r="40" spans="1:11" x14ac:dyDescent="0.25">
      <c r="A40" s="27" t="s">
        <v>97</v>
      </c>
      <c r="B40" s="28">
        <v>80</v>
      </c>
      <c r="C40" s="25">
        <f t="shared" si="6"/>
        <v>16</v>
      </c>
      <c r="D40" s="25">
        <v>66</v>
      </c>
      <c r="E40" s="25">
        <f t="shared" si="7"/>
        <v>13.200000000000001</v>
      </c>
      <c r="F40" s="25">
        <v>100</v>
      </c>
      <c r="G40" s="25">
        <f t="shared" si="8"/>
        <v>10</v>
      </c>
      <c r="H40" s="25">
        <f t="shared" si="9"/>
        <v>39.200000000000003</v>
      </c>
      <c r="I40" s="25">
        <v>100</v>
      </c>
      <c r="J40" s="25">
        <f t="shared" si="10"/>
        <v>50</v>
      </c>
      <c r="K40" s="25">
        <f t="shared" si="11"/>
        <v>89</v>
      </c>
    </row>
    <row r="41" spans="1:11" x14ac:dyDescent="0.25">
      <c r="A41" s="27" t="s">
        <v>98</v>
      </c>
      <c r="B41" s="28">
        <v>70</v>
      </c>
      <c r="C41" s="25">
        <f t="shared" si="6"/>
        <v>14</v>
      </c>
      <c r="D41" s="25">
        <v>57</v>
      </c>
      <c r="E41" s="25">
        <f t="shared" si="7"/>
        <v>11.4</v>
      </c>
      <c r="F41" s="25">
        <v>100</v>
      </c>
      <c r="G41" s="25">
        <f t="shared" si="8"/>
        <v>10</v>
      </c>
      <c r="H41" s="25">
        <f t="shared" si="9"/>
        <v>35.4</v>
      </c>
      <c r="I41" s="25">
        <v>88</v>
      </c>
      <c r="J41" s="25">
        <f t="shared" si="10"/>
        <v>44</v>
      </c>
      <c r="K41" s="25">
        <f t="shared" si="11"/>
        <v>79</v>
      </c>
    </row>
    <row r="42" spans="1:11" x14ac:dyDescent="0.25">
      <c r="A42" s="27" t="s">
        <v>99</v>
      </c>
      <c r="B42" s="28">
        <v>85</v>
      </c>
      <c r="C42" s="25">
        <f t="shared" si="6"/>
        <v>17</v>
      </c>
      <c r="D42" s="25">
        <v>83</v>
      </c>
      <c r="E42" s="25">
        <f t="shared" si="7"/>
        <v>16.600000000000001</v>
      </c>
      <c r="F42" s="25">
        <v>100</v>
      </c>
      <c r="G42" s="25">
        <f t="shared" si="8"/>
        <v>10</v>
      </c>
      <c r="H42" s="25">
        <f t="shared" si="9"/>
        <v>43.6</v>
      </c>
      <c r="I42" s="25">
        <v>100</v>
      </c>
      <c r="J42" s="25">
        <f t="shared" si="10"/>
        <v>50</v>
      </c>
      <c r="K42" s="25">
        <f t="shared" si="11"/>
        <v>94</v>
      </c>
    </row>
    <row r="43" spans="1:11" x14ac:dyDescent="0.25">
      <c r="A43" s="27" t="s">
        <v>100</v>
      </c>
      <c r="B43" s="28">
        <v>75</v>
      </c>
      <c r="C43" s="25">
        <f t="shared" si="6"/>
        <v>15</v>
      </c>
      <c r="D43" s="25">
        <v>64</v>
      </c>
      <c r="E43" s="25">
        <f t="shared" si="7"/>
        <v>12.8</v>
      </c>
      <c r="F43" s="25">
        <v>100</v>
      </c>
      <c r="G43" s="25">
        <f t="shared" si="8"/>
        <v>10</v>
      </c>
      <c r="H43" s="25">
        <f t="shared" si="9"/>
        <v>37.799999999999997</v>
      </c>
      <c r="I43" s="25">
        <v>82</v>
      </c>
      <c r="J43" s="25">
        <f t="shared" si="10"/>
        <v>41</v>
      </c>
      <c r="K43" s="25">
        <f t="shared" si="11"/>
        <v>79</v>
      </c>
    </row>
    <row r="44" spans="1:11" x14ac:dyDescent="0.25">
      <c r="A44" s="27" t="s">
        <v>101</v>
      </c>
      <c r="B44" s="28">
        <v>90</v>
      </c>
      <c r="C44" s="25">
        <f t="shared" si="6"/>
        <v>18</v>
      </c>
      <c r="D44" s="25">
        <v>64</v>
      </c>
      <c r="E44" s="25">
        <f t="shared" si="7"/>
        <v>12.8</v>
      </c>
      <c r="F44" s="25">
        <v>100</v>
      </c>
      <c r="G44" s="25">
        <f t="shared" si="8"/>
        <v>10</v>
      </c>
      <c r="H44" s="25">
        <f t="shared" si="9"/>
        <v>40.799999999999997</v>
      </c>
      <c r="I44" s="25">
        <v>93</v>
      </c>
      <c r="J44" s="25">
        <f t="shared" si="10"/>
        <v>46.5</v>
      </c>
      <c r="K44" s="25">
        <f t="shared" si="11"/>
        <v>87</v>
      </c>
    </row>
    <row r="45" spans="1:11" x14ac:dyDescent="0.25">
      <c r="A45" s="27" t="s">
        <v>102</v>
      </c>
      <c r="B45" s="28">
        <v>90</v>
      </c>
      <c r="C45" s="25">
        <f t="shared" si="6"/>
        <v>18</v>
      </c>
      <c r="D45" s="25">
        <v>62</v>
      </c>
      <c r="E45" s="25">
        <f t="shared" si="7"/>
        <v>12.4</v>
      </c>
      <c r="F45" s="25">
        <v>100</v>
      </c>
      <c r="G45" s="25">
        <f t="shared" si="8"/>
        <v>10</v>
      </c>
      <c r="H45" s="25">
        <f t="shared" si="9"/>
        <v>40.4</v>
      </c>
      <c r="I45" s="25">
        <v>81</v>
      </c>
      <c r="J45" s="25">
        <f t="shared" si="10"/>
        <v>40.5</v>
      </c>
      <c r="K45" s="25">
        <f t="shared" si="11"/>
        <v>81</v>
      </c>
    </row>
    <row r="46" spans="1:11" x14ac:dyDescent="0.25">
      <c r="A46" s="27" t="s">
        <v>103</v>
      </c>
      <c r="B46" s="28">
        <v>95</v>
      </c>
      <c r="C46" s="25">
        <f t="shared" si="6"/>
        <v>19</v>
      </c>
      <c r="D46" s="25">
        <v>51</v>
      </c>
      <c r="E46" s="25">
        <f t="shared" si="7"/>
        <v>10.200000000000001</v>
      </c>
      <c r="F46" s="25">
        <v>100</v>
      </c>
      <c r="G46" s="25">
        <f t="shared" si="8"/>
        <v>10</v>
      </c>
      <c r="H46" s="25">
        <f t="shared" si="9"/>
        <v>39.200000000000003</v>
      </c>
      <c r="I46" s="25">
        <v>70</v>
      </c>
      <c r="J46" s="25">
        <f t="shared" si="10"/>
        <v>35</v>
      </c>
      <c r="K46" s="25">
        <f t="shared" si="11"/>
        <v>74</v>
      </c>
    </row>
    <row r="47" spans="1:11" x14ac:dyDescent="0.25">
      <c r="A47" s="27" t="s">
        <v>104</v>
      </c>
      <c r="B47" s="28">
        <v>90</v>
      </c>
      <c r="C47" s="25">
        <f t="shared" si="6"/>
        <v>18</v>
      </c>
      <c r="D47" s="25">
        <v>33</v>
      </c>
      <c r="E47" s="25">
        <f t="shared" si="7"/>
        <v>6.6000000000000005</v>
      </c>
      <c r="F47" s="25">
        <v>100</v>
      </c>
      <c r="G47" s="25">
        <f t="shared" si="8"/>
        <v>10</v>
      </c>
      <c r="H47" s="25">
        <f t="shared" si="9"/>
        <v>34.6</v>
      </c>
      <c r="I47" s="25">
        <v>38</v>
      </c>
      <c r="J47" s="25">
        <f t="shared" si="10"/>
        <v>19</v>
      </c>
      <c r="K47" s="25">
        <f t="shared" si="11"/>
        <v>54</v>
      </c>
    </row>
    <row r="48" spans="1:11" x14ac:dyDescent="0.25">
      <c r="A48" s="27" t="s">
        <v>105</v>
      </c>
      <c r="B48" s="28">
        <v>80</v>
      </c>
      <c r="C48" s="25">
        <f t="shared" si="6"/>
        <v>16</v>
      </c>
      <c r="D48" s="25">
        <v>66</v>
      </c>
      <c r="E48" s="25">
        <f t="shared" si="7"/>
        <v>13.200000000000001</v>
      </c>
      <c r="F48" s="25">
        <v>100</v>
      </c>
      <c r="G48" s="25">
        <f t="shared" si="8"/>
        <v>10</v>
      </c>
      <c r="H48" s="25">
        <f t="shared" si="9"/>
        <v>39.200000000000003</v>
      </c>
      <c r="I48" s="25">
        <v>90</v>
      </c>
      <c r="J48" s="25">
        <f t="shared" si="10"/>
        <v>45</v>
      </c>
      <c r="K48" s="25">
        <f t="shared" si="11"/>
        <v>84</v>
      </c>
    </row>
    <row r="49" spans="1:11" x14ac:dyDescent="0.25">
      <c r="A49" s="27" t="s">
        <v>106</v>
      </c>
      <c r="B49" s="28">
        <v>90</v>
      </c>
      <c r="C49" s="25">
        <f t="shared" si="6"/>
        <v>18</v>
      </c>
      <c r="D49" s="25">
        <v>74</v>
      </c>
      <c r="E49" s="25">
        <f t="shared" si="7"/>
        <v>14.8</v>
      </c>
      <c r="F49" s="25">
        <v>100</v>
      </c>
      <c r="G49" s="25">
        <f t="shared" si="8"/>
        <v>10</v>
      </c>
      <c r="H49" s="25">
        <f t="shared" si="9"/>
        <v>42.8</v>
      </c>
      <c r="I49" s="25">
        <v>98</v>
      </c>
      <c r="J49" s="25">
        <f t="shared" si="10"/>
        <v>49</v>
      </c>
      <c r="K49" s="25">
        <f t="shared" si="11"/>
        <v>92</v>
      </c>
    </row>
    <row r="50" spans="1:11" x14ac:dyDescent="0.25">
      <c r="A50" s="27" t="s">
        <v>107</v>
      </c>
      <c r="B50" s="28">
        <v>90</v>
      </c>
      <c r="C50" s="25">
        <f t="shared" si="6"/>
        <v>18</v>
      </c>
      <c r="D50" s="25">
        <v>52</v>
      </c>
      <c r="E50" s="25">
        <f t="shared" si="7"/>
        <v>10.4</v>
      </c>
      <c r="F50" s="25">
        <v>100</v>
      </c>
      <c r="G50" s="25">
        <f t="shared" si="8"/>
        <v>10</v>
      </c>
      <c r="H50" s="25">
        <f t="shared" si="9"/>
        <v>38.4</v>
      </c>
      <c r="I50" s="25">
        <v>92</v>
      </c>
      <c r="J50" s="25">
        <f t="shared" si="10"/>
        <v>46</v>
      </c>
      <c r="K50" s="25">
        <f t="shared" si="11"/>
        <v>84</v>
      </c>
    </row>
    <row r="51" spans="1:11" x14ac:dyDescent="0.25">
      <c r="A51" s="27" t="s">
        <v>108</v>
      </c>
      <c r="B51" s="28">
        <v>85</v>
      </c>
      <c r="C51" s="25">
        <f t="shared" si="6"/>
        <v>17</v>
      </c>
      <c r="D51" s="25">
        <v>74</v>
      </c>
      <c r="E51" s="25">
        <f t="shared" si="7"/>
        <v>14.8</v>
      </c>
      <c r="F51" s="25">
        <v>100</v>
      </c>
      <c r="G51" s="25">
        <f t="shared" si="8"/>
        <v>10</v>
      </c>
      <c r="H51" s="25">
        <f t="shared" si="9"/>
        <v>41.8</v>
      </c>
      <c r="I51" s="25">
        <v>98</v>
      </c>
      <c r="J51" s="25">
        <f t="shared" si="10"/>
        <v>49</v>
      </c>
      <c r="K51" s="25">
        <f t="shared" si="11"/>
        <v>91</v>
      </c>
    </row>
    <row r="52" spans="1:11" x14ac:dyDescent="0.25">
      <c r="A52" s="27" t="s">
        <v>109</v>
      </c>
      <c r="B52" s="28">
        <v>80</v>
      </c>
      <c r="C52" s="25">
        <f t="shared" si="6"/>
        <v>16</v>
      </c>
      <c r="D52" s="25">
        <v>80</v>
      </c>
      <c r="E52" s="25">
        <f t="shared" si="7"/>
        <v>16</v>
      </c>
      <c r="F52" s="25">
        <v>100</v>
      </c>
      <c r="G52" s="25">
        <f t="shared" si="8"/>
        <v>10</v>
      </c>
      <c r="H52" s="25">
        <f t="shared" si="9"/>
        <v>42</v>
      </c>
      <c r="I52" s="25">
        <v>89</v>
      </c>
      <c r="J52" s="25">
        <f t="shared" si="10"/>
        <v>44.5</v>
      </c>
      <c r="K52" s="25">
        <f t="shared" si="11"/>
        <v>87</v>
      </c>
    </row>
    <row r="53" spans="1:11" x14ac:dyDescent="0.25">
      <c r="A53" s="27" t="s">
        <v>110</v>
      </c>
      <c r="B53" s="28">
        <v>80</v>
      </c>
      <c r="C53" s="25">
        <f t="shared" si="6"/>
        <v>16</v>
      </c>
      <c r="D53" s="25">
        <v>56</v>
      </c>
      <c r="E53" s="25">
        <f t="shared" si="7"/>
        <v>11.200000000000001</v>
      </c>
      <c r="F53" s="25">
        <v>100</v>
      </c>
      <c r="G53" s="25">
        <f t="shared" si="8"/>
        <v>10</v>
      </c>
      <c r="H53" s="25">
        <f t="shared" si="9"/>
        <v>37.200000000000003</v>
      </c>
      <c r="I53" s="25">
        <v>88</v>
      </c>
      <c r="J53" s="25">
        <f t="shared" si="10"/>
        <v>44</v>
      </c>
      <c r="K53" s="25">
        <f t="shared" si="11"/>
        <v>81</v>
      </c>
    </row>
    <row r="54" spans="1:11" x14ac:dyDescent="0.25">
      <c r="A54" s="27" t="s">
        <v>111</v>
      </c>
      <c r="B54" s="28">
        <v>80</v>
      </c>
      <c r="C54" s="25">
        <f t="shared" si="6"/>
        <v>16</v>
      </c>
      <c r="D54" s="25">
        <v>53</v>
      </c>
      <c r="E54" s="25">
        <f t="shared" si="7"/>
        <v>10.600000000000001</v>
      </c>
      <c r="F54" s="25">
        <v>100</v>
      </c>
      <c r="G54" s="25">
        <f t="shared" si="8"/>
        <v>10</v>
      </c>
      <c r="H54" s="25">
        <f t="shared" si="9"/>
        <v>36.6</v>
      </c>
      <c r="I54" s="25">
        <v>78</v>
      </c>
      <c r="J54" s="25">
        <f t="shared" si="10"/>
        <v>39</v>
      </c>
      <c r="K54" s="25">
        <f t="shared" si="11"/>
        <v>76</v>
      </c>
    </row>
    <row r="55" spans="1:11" s="57" customFormat="1" x14ac:dyDescent="0.25">
      <c r="A55" s="61" t="s">
        <v>112</v>
      </c>
      <c r="B55" s="62">
        <v>50</v>
      </c>
      <c r="C55" s="25">
        <f t="shared" si="6"/>
        <v>10</v>
      </c>
      <c r="D55" s="63">
        <v>25</v>
      </c>
      <c r="E55" s="25">
        <f t="shared" si="7"/>
        <v>5</v>
      </c>
      <c r="F55" s="63">
        <v>100</v>
      </c>
      <c r="G55" s="63">
        <f t="shared" si="8"/>
        <v>10</v>
      </c>
      <c r="H55" s="63">
        <f t="shared" si="9"/>
        <v>25</v>
      </c>
      <c r="I55" s="63">
        <v>53</v>
      </c>
      <c r="J55" s="63">
        <f t="shared" si="10"/>
        <v>26.5</v>
      </c>
      <c r="K55" s="63">
        <f t="shared" si="11"/>
        <v>52</v>
      </c>
    </row>
    <row r="56" spans="1:11" x14ac:dyDescent="0.25">
      <c r="A56" s="27" t="s">
        <v>113</v>
      </c>
      <c r="B56" s="28">
        <v>100</v>
      </c>
      <c r="C56" s="25">
        <f t="shared" si="6"/>
        <v>20</v>
      </c>
      <c r="D56" s="25">
        <v>70</v>
      </c>
      <c r="E56" s="25">
        <f t="shared" si="7"/>
        <v>14</v>
      </c>
      <c r="F56" s="25">
        <v>100</v>
      </c>
      <c r="G56" s="25">
        <f t="shared" si="8"/>
        <v>10</v>
      </c>
      <c r="H56" s="25">
        <f t="shared" si="9"/>
        <v>44</v>
      </c>
      <c r="I56" s="25">
        <v>69</v>
      </c>
      <c r="J56" s="25">
        <f t="shared" si="10"/>
        <v>34.5</v>
      </c>
      <c r="K56" s="25">
        <f t="shared" si="11"/>
        <v>79</v>
      </c>
    </row>
    <row r="57" spans="1:11" x14ac:dyDescent="0.25">
      <c r="A57" s="27" t="s">
        <v>114</v>
      </c>
      <c r="B57" s="28">
        <v>50</v>
      </c>
      <c r="C57" s="25">
        <f t="shared" si="6"/>
        <v>10</v>
      </c>
      <c r="D57" s="25">
        <v>86</v>
      </c>
      <c r="E57" s="25">
        <f t="shared" si="7"/>
        <v>17.2</v>
      </c>
      <c r="F57" s="25">
        <v>100</v>
      </c>
      <c r="G57" s="25">
        <f t="shared" si="8"/>
        <v>10</v>
      </c>
      <c r="H57" s="25">
        <f t="shared" si="9"/>
        <v>37.200000000000003</v>
      </c>
      <c r="I57" s="25">
        <v>93</v>
      </c>
      <c r="J57" s="25">
        <f t="shared" si="10"/>
        <v>46.5</v>
      </c>
      <c r="K57" s="25">
        <f t="shared" si="11"/>
        <v>84</v>
      </c>
    </row>
    <row r="58" spans="1:11" x14ac:dyDescent="0.25">
      <c r="A58" s="27" t="s">
        <v>115</v>
      </c>
      <c r="B58" s="28">
        <v>50</v>
      </c>
      <c r="C58" s="25">
        <f t="shared" si="6"/>
        <v>10</v>
      </c>
      <c r="D58" s="25">
        <v>51</v>
      </c>
      <c r="E58" s="25">
        <f t="shared" si="7"/>
        <v>10.200000000000001</v>
      </c>
      <c r="F58" s="25">
        <v>100</v>
      </c>
      <c r="G58" s="25">
        <f t="shared" si="8"/>
        <v>10</v>
      </c>
      <c r="H58" s="25">
        <f t="shared" si="9"/>
        <v>30.200000000000003</v>
      </c>
      <c r="I58" s="25">
        <v>72</v>
      </c>
      <c r="J58" s="25">
        <f t="shared" si="10"/>
        <v>36</v>
      </c>
      <c r="K58" s="25">
        <f t="shared" si="11"/>
        <v>66</v>
      </c>
    </row>
    <row r="59" spans="1:11" x14ac:dyDescent="0.25">
      <c r="A59" s="27" t="s">
        <v>116</v>
      </c>
      <c r="B59" s="28">
        <v>100</v>
      </c>
      <c r="C59" s="25">
        <f t="shared" si="6"/>
        <v>20</v>
      </c>
      <c r="D59" s="25">
        <v>75</v>
      </c>
      <c r="E59" s="25">
        <f t="shared" si="7"/>
        <v>15</v>
      </c>
      <c r="F59" s="25">
        <v>100</v>
      </c>
      <c r="G59" s="25">
        <f t="shared" si="8"/>
        <v>10</v>
      </c>
      <c r="H59" s="25">
        <f t="shared" si="9"/>
        <v>45</v>
      </c>
      <c r="I59" s="25">
        <v>79</v>
      </c>
      <c r="J59" s="25">
        <f t="shared" si="10"/>
        <v>39.5</v>
      </c>
      <c r="K59" s="25">
        <f t="shared" si="11"/>
        <v>85</v>
      </c>
    </row>
    <row r="60" spans="1:11" x14ac:dyDescent="0.25">
      <c r="A60" s="27" t="s">
        <v>117</v>
      </c>
      <c r="B60" s="28">
        <v>70</v>
      </c>
      <c r="C60" s="25">
        <f t="shared" si="6"/>
        <v>14</v>
      </c>
      <c r="D60" s="25">
        <v>55</v>
      </c>
      <c r="E60" s="25">
        <f t="shared" si="7"/>
        <v>11</v>
      </c>
      <c r="F60" s="25">
        <v>100</v>
      </c>
      <c r="G60" s="25">
        <f t="shared" si="8"/>
        <v>10</v>
      </c>
      <c r="H60" s="25">
        <f t="shared" si="9"/>
        <v>35</v>
      </c>
      <c r="I60" s="25">
        <v>81</v>
      </c>
      <c r="J60" s="25">
        <f t="shared" si="10"/>
        <v>40.5</v>
      </c>
      <c r="K60" s="25">
        <f t="shared" si="11"/>
        <v>76</v>
      </c>
    </row>
    <row r="61" spans="1:11" x14ac:dyDescent="0.25">
      <c r="A61" s="27" t="s">
        <v>118</v>
      </c>
      <c r="B61" s="28">
        <v>100</v>
      </c>
      <c r="C61" s="25">
        <f t="shared" si="6"/>
        <v>20</v>
      </c>
      <c r="D61" s="25">
        <v>45</v>
      </c>
      <c r="E61" s="25">
        <f t="shared" si="7"/>
        <v>9</v>
      </c>
      <c r="F61" s="25">
        <v>100</v>
      </c>
      <c r="G61" s="25">
        <f t="shared" si="8"/>
        <v>10</v>
      </c>
      <c r="H61" s="25">
        <f t="shared" si="9"/>
        <v>39</v>
      </c>
      <c r="I61" s="25">
        <v>69</v>
      </c>
      <c r="J61" s="25">
        <f t="shared" si="10"/>
        <v>34.5</v>
      </c>
      <c r="K61" s="25">
        <f t="shared" si="11"/>
        <v>74</v>
      </c>
    </row>
    <row r="62" spans="1:11" x14ac:dyDescent="0.25">
      <c r="A62" s="27" t="s">
        <v>119</v>
      </c>
      <c r="B62" s="28">
        <v>50</v>
      </c>
      <c r="C62" s="25">
        <f t="shared" si="6"/>
        <v>10</v>
      </c>
      <c r="D62" s="25">
        <v>35</v>
      </c>
      <c r="E62" s="25">
        <f t="shared" si="7"/>
        <v>7</v>
      </c>
      <c r="F62" s="25">
        <v>100</v>
      </c>
      <c r="G62" s="25">
        <f t="shared" si="8"/>
        <v>10</v>
      </c>
      <c r="H62" s="25">
        <f t="shared" si="9"/>
        <v>27</v>
      </c>
      <c r="I62" s="25">
        <v>73</v>
      </c>
      <c r="J62" s="25">
        <f t="shared" si="10"/>
        <v>36.5</v>
      </c>
      <c r="K62" s="25">
        <f t="shared" si="11"/>
        <v>64</v>
      </c>
    </row>
    <row r="63" spans="1:11" x14ac:dyDescent="0.25">
      <c r="A63" s="27" t="s">
        <v>120</v>
      </c>
      <c r="B63" s="28">
        <v>100</v>
      </c>
      <c r="C63" s="25">
        <f t="shared" si="6"/>
        <v>20</v>
      </c>
      <c r="D63" s="25">
        <v>71</v>
      </c>
      <c r="E63" s="25">
        <f t="shared" si="7"/>
        <v>14.200000000000001</v>
      </c>
      <c r="F63" s="25">
        <v>100</v>
      </c>
      <c r="G63" s="25">
        <f t="shared" si="8"/>
        <v>10</v>
      </c>
      <c r="H63" s="25">
        <f t="shared" si="9"/>
        <v>44.2</v>
      </c>
      <c r="I63" s="25">
        <v>88</v>
      </c>
      <c r="J63" s="25">
        <f t="shared" si="10"/>
        <v>44</v>
      </c>
      <c r="K63" s="25">
        <f t="shared" si="11"/>
        <v>88</v>
      </c>
    </row>
    <row r="64" spans="1:11" x14ac:dyDescent="0.25">
      <c r="A64" s="27" t="s">
        <v>121</v>
      </c>
      <c r="B64" s="28">
        <v>70</v>
      </c>
      <c r="C64" s="25">
        <f t="shared" si="6"/>
        <v>14</v>
      </c>
      <c r="D64" s="25">
        <v>30</v>
      </c>
      <c r="E64" s="25">
        <f t="shared" si="7"/>
        <v>6</v>
      </c>
      <c r="F64" s="25">
        <v>100</v>
      </c>
      <c r="G64" s="25">
        <f t="shared" si="8"/>
        <v>10</v>
      </c>
      <c r="H64" s="25">
        <f t="shared" si="9"/>
        <v>30</v>
      </c>
      <c r="I64" s="25">
        <v>63</v>
      </c>
      <c r="J64" s="25">
        <f t="shared" si="10"/>
        <v>31.5</v>
      </c>
      <c r="K64" s="25">
        <f t="shared" si="11"/>
        <v>62</v>
      </c>
    </row>
    <row r="65" spans="1:11" x14ac:dyDescent="0.25">
      <c r="A65" s="27" t="s">
        <v>122</v>
      </c>
      <c r="B65" s="28">
        <v>100</v>
      </c>
      <c r="C65" s="25">
        <f t="shared" si="6"/>
        <v>20</v>
      </c>
      <c r="D65" s="25">
        <v>72</v>
      </c>
      <c r="E65" s="25">
        <f t="shared" si="7"/>
        <v>14.4</v>
      </c>
      <c r="F65" s="25">
        <v>100</v>
      </c>
      <c r="G65" s="25">
        <f t="shared" si="8"/>
        <v>10</v>
      </c>
      <c r="H65" s="25">
        <f t="shared" si="9"/>
        <v>44.4</v>
      </c>
      <c r="I65" s="25">
        <v>79</v>
      </c>
      <c r="J65" s="25">
        <f t="shared" si="10"/>
        <v>39.5</v>
      </c>
      <c r="K65" s="25">
        <f t="shared" si="11"/>
        <v>84</v>
      </c>
    </row>
    <row r="66" spans="1:11" x14ac:dyDescent="0.25">
      <c r="A66" s="27" t="s">
        <v>123</v>
      </c>
      <c r="B66" s="28">
        <v>100</v>
      </c>
      <c r="C66" s="25">
        <f t="shared" si="6"/>
        <v>20</v>
      </c>
      <c r="D66" s="25">
        <v>80</v>
      </c>
      <c r="E66" s="25">
        <f t="shared" si="7"/>
        <v>16</v>
      </c>
      <c r="F66" s="25">
        <v>100</v>
      </c>
      <c r="G66" s="25">
        <f t="shared" si="8"/>
        <v>10</v>
      </c>
      <c r="H66" s="25">
        <f t="shared" si="9"/>
        <v>46</v>
      </c>
      <c r="I66" s="25">
        <v>72</v>
      </c>
      <c r="J66" s="25">
        <f t="shared" si="10"/>
        <v>36</v>
      </c>
      <c r="K66" s="25">
        <f t="shared" si="11"/>
        <v>82</v>
      </c>
    </row>
    <row r="67" spans="1:11" x14ac:dyDescent="0.25">
      <c r="A67" s="27" t="s">
        <v>124</v>
      </c>
      <c r="B67" s="28">
        <v>70</v>
      </c>
      <c r="C67" s="25">
        <f t="shared" si="6"/>
        <v>14</v>
      </c>
      <c r="D67" s="25">
        <v>44</v>
      </c>
      <c r="E67" s="25">
        <f t="shared" si="7"/>
        <v>8.8000000000000007</v>
      </c>
      <c r="F67" s="25">
        <v>100</v>
      </c>
      <c r="G67" s="25">
        <f t="shared" si="8"/>
        <v>10</v>
      </c>
      <c r="H67" s="25">
        <f t="shared" si="9"/>
        <v>32.799999999999997</v>
      </c>
      <c r="I67" s="25">
        <v>72</v>
      </c>
      <c r="J67" s="25">
        <f t="shared" si="10"/>
        <v>36</v>
      </c>
      <c r="K67" s="25">
        <f t="shared" ref="K67:K80" si="12">ROUND(H67+J67,0)</f>
        <v>69</v>
      </c>
    </row>
    <row r="68" spans="1:11" x14ac:dyDescent="0.25">
      <c r="A68" s="27" t="s">
        <v>125</v>
      </c>
      <c r="B68" s="28">
        <v>70</v>
      </c>
      <c r="C68" s="25">
        <f t="shared" si="6"/>
        <v>14</v>
      </c>
      <c r="D68" s="25">
        <v>48</v>
      </c>
      <c r="E68" s="25">
        <f t="shared" si="7"/>
        <v>9.6000000000000014</v>
      </c>
      <c r="F68" s="25">
        <v>100</v>
      </c>
      <c r="G68" s="25">
        <f t="shared" si="8"/>
        <v>10</v>
      </c>
      <c r="H68" s="25">
        <f t="shared" si="9"/>
        <v>33.6</v>
      </c>
      <c r="I68" s="25">
        <v>66</v>
      </c>
      <c r="J68" s="25">
        <f t="shared" si="10"/>
        <v>33</v>
      </c>
      <c r="K68" s="25">
        <f t="shared" si="12"/>
        <v>67</v>
      </c>
    </row>
    <row r="69" spans="1:11" x14ac:dyDescent="0.25">
      <c r="A69" s="27" t="s">
        <v>126</v>
      </c>
      <c r="B69" s="28">
        <v>50</v>
      </c>
      <c r="C69" s="25">
        <f t="shared" si="6"/>
        <v>10</v>
      </c>
      <c r="D69" s="25">
        <v>51</v>
      </c>
      <c r="E69" s="25">
        <f t="shared" si="7"/>
        <v>10.200000000000001</v>
      </c>
      <c r="F69" s="25">
        <v>100</v>
      </c>
      <c r="G69" s="25">
        <f t="shared" si="8"/>
        <v>10</v>
      </c>
      <c r="H69" s="25">
        <f t="shared" si="9"/>
        <v>30.200000000000003</v>
      </c>
      <c r="I69" s="25">
        <v>83</v>
      </c>
      <c r="J69" s="25">
        <f t="shared" si="10"/>
        <v>41.5</v>
      </c>
      <c r="K69" s="25">
        <f t="shared" si="12"/>
        <v>72</v>
      </c>
    </row>
    <row r="70" spans="1:11" x14ac:dyDescent="0.25">
      <c r="A70" s="27" t="s">
        <v>127</v>
      </c>
      <c r="B70" s="28">
        <v>70</v>
      </c>
      <c r="C70" s="25">
        <f t="shared" si="6"/>
        <v>14</v>
      </c>
      <c r="D70" s="25">
        <v>75</v>
      </c>
      <c r="E70" s="25">
        <f t="shared" si="7"/>
        <v>15</v>
      </c>
      <c r="F70" s="25">
        <v>100</v>
      </c>
      <c r="G70" s="25">
        <f t="shared" si="8"/>
        <v>10</v>
      </c>
      <c r="H70" s="25">
        <f t="shared" si="9"/>
        <v>39</v>
      </c>
      <c r="I70" s="25">
        <v>70</v>
      </c>
      <c r="J70" s="25">
        <f t="shared" si="10"/>
        <v>35</v>
      </c>
      <c r="K70" s="25">
        <f t="shared" si="12"/>
        <v>74</v>
      </c>
    </row>
    <row r="71" spans="1:11" x14ac:dyDescent="0.25">
      <c r="A71" s="27" t="s">
        <v>128</v>
      </c>
      <c r="B71" s="28">
        <v>50</v>
      </c>
      <c r="C71" s="25">
        <f t="shared" si="6"/>
        <v>10</v>
      </c>
      <c r="D71" s="25">
        <v>65</v>
      </c>
      <c r="E71" s="25">
        <f t="shared" si="7"/>
        <v>13</v>
      </c>
      <c r="F71" s="25">
        <v>100</v>
      </c>
      <c r="G71" s="25">
        <f t="shared" si="8"/>
        <v>10</v>
      </c>
      <c r="H71" s="25">
        <f t="shared" si="9"/>
        <v>33</v>
      </c>
      <c r="I71" s="25">
        <v>95</v>
      </c>
      <c r="J71" s="25">
        <f t="shared" si="10"/>
        <v>47.5</v>
      </c>
      <c r="K71" s="25">
        <f t="shared" si="12"/>
        <v>81</v>
      </c>
    </row>
    <row r="72" spans="1:11" x14ac:dyDescent="0.25">
      <c r="A72" s="27" t="s">
        <v>129</v>
      </c>
      <c r="B72" s="28">
        <v>50</v>
      </c>
      <c r="C72" s="25">
        <f t="shared" si="6"/>
        <v>10</v>
      </c>
      <c r="D72" s="25">
        <v>50</v>
      </c>
      <c r="E72" s="25">
        <f t="shared" si="7"/>
        <v>10</v>
      </c>
      <c r="F72" s="25">
        <v>100</v>
      </c>
      <c r="G72" s="25">
        <f t="shared" si="8"/>
        <v>10</v>
      </c>
      <c r="H72" s="25">
        <f t="shared" si="9"/>
        <v>30</v>
      </c>
      <c r="I72" s="25">
        <v>58</v>
      </c>
      <c r="J72" s="25">
        <f t="shared" si="10"/>
        <v>29</v>
      </c>
      <c r="K72" s="25">
        <f t="shared" si="12"/>
        <v>59</v>
      </c>
    </row>
    <row r="73" spans="1:11" x14ac:dyDescent="0.25">
      <c r="A73" s="27" t="s">
        <v>130</v>
      </c>
      <c r="B73" s="28">
        <v>100</v>
      </c>
      <c r="C73" s="25">
        <f t="shared" si="6"/>
        <v>20</v>
      </c>
      <c r="D73" s="25">
        <v>51</v>
      </c>
      <c r="E73" s="25">
        <f t="shared" si="7"/>
        <v>10.200000000000001</v>
      </c>
      <c r="F73" s="25">
        <v>100</v>
      </c>
      <c r="G73" s="25">
        <f t="shared" si="8"/>
        <v>10</v>
      </c>
      <c r="H73" s="25">
        <f t="shared" si="9"/>
        <v>40.200000000000003</v>
      </c>
      <c r="I73" s="25">
        <v>87</v>
      </c>
      <c r="J73" s="25">
        <f t="shared" si="10"/>
        <v>43.5</v>
      </c>
      <c r="K73" s="25">
        <f t="shared" si="12"/>
        <v>84</v>
      </c>
    </row>
    <row r="74" spans="1:11" x14ac:dyDescent="0.25">
      <c r="A74" s="27" t="s">
        <v>131</v>
      </c>
      <c r="B74" s="28">
        <v>70</v>
      </c>
      <c r="C74" s="25">
        <f t="shared" si="6"/>
        <v>14</v>
      </c>
      <c r="D74" s="25">
        <v>41</v>
      </c>
      <c r="E74" s="25">
        <f t="shared" si="7"/>
        <v>8.2000000000000011</v>
      </c>
      <c r="F74" s="25">
        <v>100</v>
      </c>
      <c r="G74" s="25">
        <f t="shared" si="8"/>
        <v>10</v>
      </c>
      <c r="H74" s="25">
        <f t="shared" si="9"/>
        <v>32.200000000000003</v>
      </c>
      <c r="I74" s="25">
        <v>81</v>
      </c>
      <c r="J74" s="25">
        <f t="shared" si="10"/>
        <v>40.5</v>
      </c>
      <c r="K74" s="25">
        <f t="shared" si="12"/>
        <v>73</v>
      </c>
    </row>
    <row r="75" spans="1:11" x14ac:dyDescent="0.25">
      <c r="A75" s="27" t="s">
        <v>132</v>
      </c>
      <c r="B75" s="28">
        <v>70</v>
      </c>
      <c r="C75" s="25">
        <f t="shared" si="6"/>
        <v>14</v>
      </c>
      <c r="D75" s="25">
        <v>65</v>
      </c>
      <c r="E75" s="25">
        <f t="shared" si="7"/>
        <v>13</v>
      </c>
      <c r="F75" s="25">
        <v>100</v>
      </c>
      <c r="G75" s="25">
        <f t="shared" si="8"/>
        <v>10</v>
      </c>
      <c r="H75" s="25">
        <f t="shared" si="9"/>
        <v>37</v>
      </c>
      <c r="I75" s="25">
        <v>76</v>
      </c>
      <c r="J75" s="25">
        <f t="shared" si="10"/>
        <v>38</v>
      </c>
      <c r="K75" s="25">
        <f t="shared" si="12"/>
        <v>75</v>
      </c>
    </row>
    <row r="76" spans="1:11" x14ac:dyDescent="0.25">
      <c r="A76" s="27" t="s">
        <v>133</v>
      </c>
      <c r="B76" s="28">
        <v>70</v>
      </c>
      <c r="C76" s="25">
        <f t="shared" si="6"/>
        <v>14</v>
      </c>
      <c r="D76" s="25">
        <v>59</v>
      </c>
      <c r="E76" s="25">
        <f t="shared" si="7"/>
        <v>11.8</v>
      </c>
      <c r="F76" s="25">
        <v>100</v>
      </c>
      <c r="G76" s="25">
        <f t="shared" si="8"/>
        <v>10</v>
      </c>
      <c r="H76" s="25">
        <f t="shared" si="9"/>
        <v>35.799999999999997</v>
      </c>
      <c r="I76" s="25">
        <v>90</v>
      </c>
      <c r="J76" s="25">
        <f t="shared" si="10"/>
        <v>45</v>
      </c>
      <c r="K76" s="25">
        <f t="shared" si="12"/>
        <v>81</v>
      </c>
    </row>
    <row r="77" spans="1:11" x14ac:dyDescent="0.25">
      <c r="A77" s="27" t="s">
        <v>134</v>
      </c>
      <c r="B77" s="28">
        <v>100</v>
      </c>
      <c r="C77" s="25">
        <f t="shared" si="6"/>
        <v>20</v>
      </c>
      <c r="D77" s="25">
        <v>92</v>
      </c>
      <c r="E77" s="25">
        <f t="shared" si="7"/>
        <v>18.400000000000002</v>
      </c>
      <c r="F77" s="25">
        <v>100</v>
      </c>
      <c r="G77" s="25">
        <f t="shared" si="8"/>
        <v>10</v>
      </c>
      <c r="H77" s="25">
        <f t="shared" si="9"/>
        <v>48.400000000000006</v>
      </c>
      <c r="I77" s="25">
        <v>94</v>
      </c>
      <c r="J77" s="25">
        <f t="shared" si="10"/>
        <v>47</v>
      </c>
      <c r="K77" s="25">
        <f t="shared" si="12"/>
        <v>95</v>
      </c>
    </row>
    <row r="78" spans="1:11" x14ac:dyDescent="0.25">
      <c r="A78" s="27" t="s">
        <v>135</v>
      </c>
      <c r="B78" s="28">
        <v>50</v>
      </c>
      <c r="C78" s="25">
        <f t="shared" si="6"/>
        <v>10</v>
      </c>
      <c r="D78" s="25">
        <v>89</v>
      </c>
      <c r="E78" s="25">
        <f t="shared" si="7"/>
        <v>17.8</v>
      </c>
      <c r="F78" s="25">
        <v>100</v>
      </c>
      <c r="G78" s="25">
        <f t="shared" si="8"/>
        <v>10</v>
      </c>
      <c r="H78" s="25">
        <f t="shared" si="9"/>
        <v>37.799999999999997</v>
      </c>
      <c r="I78" s="25">
        <v>84</v>
      </c>
      <c r="J78" s="25">
        <f t="shared" si="10"/>
        <v>42</v>
      </c>
      <c r="K78" s="25">
        <f t="shared" si="12"/>
        <v>80</v>
      </c>
    </row>
    <row r="79" spans="1:11" x14ac:dyDescent="0.25">
      <c r="A79" s="27" t="s">
        <v>136</v>
      </c>
      <c r="B79" s="28">
        <v>35</v>
      </c>
      <c r="C79" s="25">
        <f t="shared" si="6"/>
        <v>7</v>
      </c>
      <c r="D79" s="25">
        <v>28</v>
      </c>
      <c r="E79" s="25">
        <f t="shared" si="7"/>
        <v>5.6000000000000005</v>
      </c>
      <c r="F79" s="25">
        <v>100</v>
      </c>
      <c r="G79" s="25">
        <f t="shared" si="8"/>
        <v>10</v>
      </c>
      <c r="H79" s="25">
        <f t="shared" si="9"/>
        <v>22.6</v>
      </c>
      <c r="I79" s="25">
        <v>62</v>
      </c>
      <c r="J79" s="25">
        <f t="shared" si="10"/>
        <v>31</v>
      </c>
      <c r="K79" s="25">
        <f t="shared" si="12"/>
        <v>54</v>
      </c>
    </row>
    <row r="80" spans="1:11" x14ac:dyDescent="0.25">
      <c r="A80" s="29" t="s">
        <v>137</v>
      </c>
      <c r="B80" s="30">
        <v>70</v>
      </c>
      <c r="C80" s="25">
        <f t="shared" si="6"/>
        <v>14</v>
      </c>
      <c r="D80" s="31">
        <v>75</v>
      </c>
      <c r="E80" s="25">
        <f t="shared" si="7"/>
        <v>15</v>
      </c>
      <c r="F80" s="25">
        <v>100</v>
      </c>
      <c r="G80" s="31">
        <f t="shared" si="8"/>
        <v>10</v>
      </c>
      <c r="H80" s="31">
        <f t="shared" si="9"/>
        <v>39</v>
      </c>
      <c r="I80" s="31">
        <v>84</v>
      </c>
      <c r="J80" s="31">
        <f t="shared" si="10"/>
        <v>42</v>
      </c>
      <c r="K80" s="31">
        <f t="shared" si="12"/>
        <v>81</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ACB52-69FB-434D-B3DB-8949FAD681A1}">
  <sheetPr codeName="Sheet13"/>
  <dimension ref="A2:P80"/>
  <sheetViews>
    <sheetView topLeftCell="A49" workbookViewId="0">
      <selection activeCell="I73" sqref="I73"/>
    </sheetView>
  </sheetViews>
  <sheetFormatPr defaultRowHeight="15" x14ac:dyDescent="0.25"/>
  <cols>
    <col min="1" max="1" width="35.7109375" customWidth="1"/>
    <col min="2" max="2" width="7.5703125" customWidth="1"/>
    <col min="3" max="3" width="10" customWidth="1"/>
    <col min="4" max="4" width="11.5703125" customWidth="1"/>
    <col min="5" max="5" width="16.42578125" customWidth="1"/>
    <col min="6" max="6" width="15.85546875" customWidth="1"/>
    <col min="7" max="7" width="9.5703125" customWidth="1"/>
    <col min="8" max="8" width="5.42578125" customWidth="1"/>
    <col min="9" max="9" width="14.42578125" customWidth="1"/>
    <col min="10" max="10" width="19.140625" customWidth="1"/>
    <col min="11" max="11" width="8.140625" customWidth="1"/>
  </cols>
  <sheetData>
    <row r="2" spans="1:16" x14ac:dyDescent="0.25">
      <c r="A2" s="33" t="s">
        <v>0</v>
      </c>
      <c r="B2" s="34" t="s">
        <v>1</v>
      </c>
      <c r="C2" s="34" t="s">
        <v>48</v>
      </c>
      <c r="D2" s="34" t="s">
        <v>3</v>
      </c>
      <c r="E2" s="34" t="s">
        <v>49</v>
      </c>
      <c r="F2" s="34" t="s">
        <v>50</v>
      </c>
      <c r="G2" s="34" t="s">
        <v>51</v>
      </c>
      <c r="H2" s="34" t="s">
        <v>52</v>
      </c>
      <c r="I2" s="34" t="s">
        <v>2</v>
      </c>
      <c r="J2" s="34" t="s">
        <v>4</v>
      </c>
      <c r="K2" s="34" t="s">
        <v>5</v>
      </c>
      <c r="M2" t="s">
        <v>84</v>
      </c>
      <c r="N2" t="s">
        <v>36</v>
      </c>
      <c r="O2" t="s">
        <v>37</v>
      </c>
      <c r="P2" t="s">
        <v>38</v>
      </c>
    </row>
    <row r="3" spans="1:16" x14ac:dyDescent="0.25">
      <c r="A3" s="24" t="s">
        <v>20</v>
      </c>
      <c r="B3" s="25">
        <v>100</v>
      </c>
      <c r="C3" s="25">
        <f>B3*20%</f>
        <v>20</v>
      </c>
      <c r="D3" s="25">
        <v>100</v>
      </c>
      <c r="E3" s="25">
        <f>D3*20%</f>
        <v>20</v>
      </c>
      <c r="F3" s="25">
        <v>100</v>
      </c>
      <c r="G3" s="25">
        <f>F3*10%</f>
        <v>10</v>
      </c>
      <c r="H3" s="25">
        <f>C3+E3+G3</f>
        <v>50</v>
      </c>
      <c r="I3" s="25">
        <v>85</v>
      </c>
      <c r="J3" s="25">
        <f>I3*50%</f>
        <v>42.5</v>
      </c>
      <c r="K3" s="25">
        <f>H3+J3</f>
        <v>92.5</v>
      </c>
      <c r="M3" t="s">
        <v>33</v>
      </c>
      <c r="N3">
        <f>AVERAGE(B2:B79)</f>
        <v>78.223684210526315</v>
      </c>
      <c r="O3">
        <f>AVERAGE(D2:D79)</f>
        <v>82.28947368421052</v>
      </c>
      <c r="P3">
        <f>AVERAGE(I2:I80)</f>
        <v>89.298701298701303</v>
      </c>
    </row>
    <row r="4" spans="1:16" x14ac:dyDescent="0.25">
      <c r="A4" s="24" t="s">
        <v>18</v>
      </c>
      <c r="B4" s="25">
        <v>80</v>
      </c>
      <c r="C4" s="25">
        <f t="shared" ref="C4:C29" si="0">B4*20%</f>
        <v>16</v>
      </c>
      <c r="D4" s="25">
        <v>80</v>
      </c>
      <c r="E4" s="25">
        <f t="shared" ref="E4:E29" si="1">D4*20%</f>
        <v>16</v>
      </c>
      <c r="F4" s="25">
        <v>100</v>
      </c>
      <c r="G4" s="25">
        <f t="shared" ref="G4:G29" si="2">F4*10%</f>
        <v>10</v>
      </c>
      <c r="H4" s="25">
        <f t="shared" ref="H4:H29" si="3">C4+E4+G4</f>
        <v>42</v>
      </c>
      <c r="I4" s="25">
        <v>85</v>
      </c>
      <c r="J4" s="25">
        <f>I4*50%</f>
        <v>42.5</v>
      </c>
      <c r="K4" s="25">
        <f t="shared" ref="K4:K29" si="4">H4+J4</f>
        <v>84.5</v>
      </c>
      <c r="M4" t="s">
        <v>34</v>
      </c>
      <c r="N4">
        <f>MAX(B2:B79)</f>
        <v>100</v>
      </c>
      <c r="O4">
        <f>MAX(D2:D79)</f>
        <v>100</v>
      </c>
      <c r="P4">
        <f>MAX(I2:I79)</f>
        <v>100</v>
      </c>
    </row>
    <row r="5" spans="1:16" x14ac:dyDescent="0.25">
      <c r="A5" s="24" t="s">
        <v>32</v>
      </c>
      <c r="B5" s="25">
        <v>50</v>
      </c>
      <c r="C5" s="25">
        <f t="shared" si="0"/>
        <v>10</v>
      </c>
      <c r="D5" s="25">
        <v>90</v>
      </c>
      <c r="E5" s="25">
        <f t="shared" si="1"/>
        <v>18</v>
      </c>
      <c r="F5" s="25">
        <v>100</v>
      </c>
      <c r="G5" s="25">
        <f t="shared" si="2"/>
        <v>10</v>
      </c>
      <c r="H5" s="25">
        <f t="shared" si="3"/>
        <v>38</v>
      </c>
      <c r="I5" s="25">
        <v>90</v>
      </c>
      <c r="J5" s="25">
        <f t="shared" ref="J5:J29" si="5">I5*50%</f>
        <v>45</v>
      </c>
      <c r="K5" s="25">
        <f t="shared" si="4"/>
        <v>83</v>
      </c>
      <c r="M5" t="s">
        <v>35</v>
      </c>
      <c r="N5">
        <f>MIN(B2:B79)</f>
        <v>40</v>
      </c>
      <c r="O5">
        <f>MIN(D2:D79)</f>
        <v>40</v>
      </c>
      <c r="P5">
        <f>MIN(J2:J79)</f>
        <v>0</v>
      </c>
    </row>
    <row r="6" spans="1:16" x14ac:dyDescent="0.25">
      <c r="A6" s="24" t="s">
        <v>7</v>
      </c>
      <c r="B6" s="25">
        <v>80</v>
      </c>
      <c r="C6" s="25">
        <f t="shared" si="0"/>
        <v>16</v>
      </c>
      <c r="D6" s="25">
        <v>100</v>
      </c>
      <c r="E6" s="25">
        <f t="shared" si="1"/>
        <v>20</v>
      </c>
      <c r="F6" s="25">
        <v>100</v>
      </c>
      <c r="G6" s="25">
        <f t="shared" si="2"/>
        <v>10</v>
      </c>
      <c r="H6" s="25">
        <f t="shared" si="3"/>
        <v>46</v>
      </c>
      <c r="I6" s="25">
        <v>93</v>
      </c>
      <c r="J6" s="25">
        <f t="shared" si="5"/>
        <v>46.5</v>
      </c>
      <c r="K6" s="25">
        <f t="shared" si="4"/>
        <v>92.5</v>
      </c>
    </row>
    <row r="7" spans="1:16" x14ac:dyDescent="0.25">
      <c r="A7" s="24" t="s">
        <v>19</v>
      </c>
      <c r="B7" s="25">
        <v>80</v>
      </c>
      <c r="C7" s="25">
        <f t="shared" si="0"/>
        <v>16</v>
      </c>
      <c r="D7" s="25">
        <v>90</v>
      </c>
      <c r="E7" s="25">
        <f t="shared" si="1"/>
        <v>18</v>
      </c>
      <c r="F7" s="25">
        <v>100</v>
      </c>
      <c r="G7" s="25">
        <f t="shared" si="2"/>
        <v>10</v>
      </c>
      <c r="H7" s="25">
        <f t="shared" si="3"/>
        <v>44</v>
      </c>
      <c r="I7" s="25">
        <v>70</v>
      </c>
      <c r="J7" s="25">
        <f t="shared" si="5"/>
        <v>35</v>
      </c>
      <c r="K7" s="25">
        <f t="shared" si="4"/>
        <v>79</v>
      </c>
    </row>
    <row r="8" spans="1:16" x14ac:dyDescent="0.25">
      <c r="A8" s="24" t="s">
        <v>9</v>
      </c>
      <c r="B8" s="25">
        <v>75</v>
      </c>
      <c r="C8" s="25">
        <f t="shared" si="0"/>
        <v>15</v>
      </c>
      <c r="D8" s="25">
        <v>85</v>
      </c>
      <c r="E8" s="25">
        <f t="shared" si="1"/>
        <v>17</v>
      </c>
      <c r="F8" s="25">
        <v>100</v>
      </c>
      <c r="G8" s="25">
        <f t="shared" si="2"/>
        <v>10</v>
      </c>
      <c r="H8" s="25">
        <f t="shared" si="3"/>
        <v>42</v>
      </c>
      <c r="I8" s="25">
        <v>85</v>
      </c>
      <c r="J8" s="25">
        <f t="shared" si="5"/>
        <v>42.5</v>
      </c>
      <c r="K8" s="25">
        <f t="shared" si="4"/>
        <v>84.5</v>
      </c>
    </row>
    <row r="9" spans="1:16" x14ac:dyDescent="0.25">
      <c r="A9" s="24" t="s">
        <v>21</v>
      </c>
      <c r="B9" s="25">
        <v>100</v>
      </c>
      <c r="C9" s="25">
        <f t="shared" si="0"/>
        <v>20</v>
      </c>
      <c r="D9" s="25">
        <v>100</v>
      </c>
      <c r="E9" s="25">
        <f t="shared" si="1"/>
        <v>20</v>
      </c>
      <c r="F9" s="25">
        <v>100</v>
      </c>
      <c r="G9" s="25">
        <f t="shared" si="2"/>
        <v>10</v>
      </c>
      <c r="H9" s="25">
        <f t="shared" si="3"/>
        <v>50</v>
      </c>
      <c r="I9" s="25">
        <v>95</v>
      </c>
      <c r="J9" s="25">
        <f t="shared" si="5"/>
        <v>47.5</v>
      </c>
      <c r="K9" s="25">
        <f t="shared" si="4"/>
        <v>97.5</v>
      </c>
    </row>
    <row r="10" spans="1:16" x14ac:dyDescent="0.25">
      <c r="A10" s="24" t="s">
        <v>8</v>
      </c>
      <c r="B10" s="25">
        <v>100</v>
      </c>
      <c r="C10" s="25">
        <f t="shared" si="0"/>
        <v>20</v>
      </c>
      <c r="D10" s="25">
        <v>80</v>
      </c>
      <c r="E10" s="25">
        <f t="shared" si="1"/>
        <v>16</v>
      </c>
      <c r="F10" s="25">
        <v>100</v>
      </c>
      <c r="G10" s="25">
        <f t="shared" si="2"/>
        <v>10</v>
      </c>
      <c r="H10" s="25">
        <f t="shared" si="3"/>
        <v>46</v>
      </c>
      <c r="I10" s="25">
        <v>83</v>
      </c>
      <c r="J10" s="25">
        <f t="shared" si="5"/>
        <v>41.5</v>
      </c>
      <c r="K10" s="25">
        <f t="shared" si="4"/>
        <v>87.5</v>
      </c>
    </row>
    <row r="11" spans="1:16" x14ac:dyDescent="0.25">
      <c r="A11" s="24" t="s">
        <v>10</v>
      </c>
      <c r="B11" s="25">
        <v>40</v>
      </c>
      <c r="C11" s="25">
        <f t="shared" si="0"/>
        <v>8</v>
      </c>
      <c r="D11" s="25">
        <v>90</v>
      </c>
      <c r="E11" s="25">
        <f t="shared" si="1"/>
        <v>18</v>
      </c>
      <c r="F11" s="25">
        <v>100</v>
      </c>
      <c r="G11" s="25">
        <f t="shared" si="2"/>
        <v>10</v>
      </c>
      <c r="H11" s="25">
        <f t="shared" si="3"/>
        <v>36</v>
      </c>
      <c r="I11" s="25">
        <v>95</v>
      </c>
      <c r="J11" s="25">
        <f t="shared" si="5"/>
        <v>47.5</v>
      </c>
      <c r="K11" s="25">
        <f t="shared" si="4"/>
        <v>83.5</v>
      </c>
    </row>
    <row r="12" spans="1:16" x14ac:dyDescent="0.25">
      <c r="A12" s="24" t="s">
        <v>6</v>
      </c>
      <c r="B12" s="25">
        <v>40</v>
      </c>
      <c r="C12" s="25">
        <f t="shared" si="0"/>
        <v>8</v>
      </c>
      <c r="D12" s="25">
        <v>80</v>
      </c>
      <c r="E12" s="25">
        <f t="shared" si="1"/>
        <v>16</v>
      </c>
      <c r="F12" s="25">
        <v>100</v>
      </c>
      <c r="G12" s="25">
        <f t="shared" si="2"/>
        <v>10</v>
      </c>
      <c r="H12" s="25">
        <f t="shared" si="3"/>
        <v>34</v>
      </c>
      <c r="I12" s="25">
        <v>73</v>
      </c>
      <c r="J12" s="25">
        <f t="shared" si="5"/>
        <v>36.5</v>
      </c>
      <c r="K12" s="25">
        <f t="shared" si="4"/>
        <v>70.5</v>
      </c>
    </row>
    <row r="13" spans="1:16" x14ac:dyDescent="0.25">
      <c r="A13" s="24" t="s">
        <v>17</v>
      </c>
      <c r="B13" s="25">
        <v>60</v>
      </c>
      <c r="C13" s="25">
        <f t="shared" si="0"/>
        <v>12</v>
      </c>
      <c r="D13" s="25">
        <v>60</v>
      </c>
      <c r="E13" s="25">
        <f t="shared" si="1"/>
        <v>12</v>
      </c>
      <c r="F13" s="25">
        <v>100</v>
      </c>
      <c r="G13" s="25">
        <f t="shared" si="2"/>
        <v>10</v>
      </c>
      <c r="H13" s="25">
        <f t="shared" si="3"/>
        <v>34</v>
      </c>
      <c r="I13" s="25">
        <v>88</v>
      </c>
      <c r="J13" s="25">
        <f t="shared" si="5"/>
        <v>44</v>
      </c>
      <c r="K13" s="25">
        <f t="shared" si="4"/>
        <v>78</v>
      </c>
    </row>
    <row r="14" spans="1:16" x14ac:dyDescent="0.25">
      <c r="A14" s="24" t="s">
        <v>22</v>
      </c>
      <c r="B14" s="25">
        <v>100</v>
      </c>
      <c r="C14" s="25">
        <f t="shared" si="0"/>
        <v>20</v>
      </c>
      <c r="D14" s="25">
        <v>80</v>
      </c>
      <c r="E14" s="25">
        <f t="shared" si="1"/>
        <v>16</v>
      </c>
      <c r="F14" s="25">
        <v>100</v>
      </c>
      <c r="G14" s="25">
        <f t="shared" si="2"/>
        <v>10</v>
      </c>
      <c r="H14" s="25">
        <f t="shared" si="3"/>
        <v>46</v>
      </c>
      <c r="I14" s="25">
        <v>83</v>
      </c>
      <c r="J14" s="25">
        <f t="shared" si="5"/>
        <v>41.5</v>
      </c>
      <c r="K14" s="25">
        <f t="shared" si="4"/>
        <v>87.5</v>
      </c>
    </row>
    <row r="15" spans="1:16" x14ac:dyDescent="0.25">
      <c r="A15" s="24" t="s">
        <v>11</v>
      </c>
      <c r="B15" s="25">
        <v>100</v>
      </c>
      <c r="C15" s="25">
        <f t="shared" si="0"/>
        <v>20</v>
      </c>
      <c r="D15" s="25">
        <v>100</v>
      </c>
      <c r="E15" s="25">
        <f t="shared" si="1"/>
        <v>20</v>
      </c>
      <c r="F15" s="25">
        <v>100</v>
      </c>
      <c r="G15" s="25">
        <f t="shared" si="2"/>
        <v>10</v>
      </c>
      <c r="H15" s="25">
        <f t="shared" si="3"/>
        <v>50</v>
      </c>
      <c r="I15" s="25">
        <v>80</v>
      </c>
      <c r="J15" s="25">
        <f t="shared" si="5"/>
        <v>40</v>
      </c>
      <c r="K15" s="25">
        <f t="shared" si="4"/>
        <v>90</v>
      </c>
    </row>
    <row r="16" spans="1:16" x14ac:dyDescent="0.25">
      <c r="A16" s="24" t="s">
        <v>23</v>
      </c>
      <c r="B16" s="25">
        <v>100</v>
      </c>
      <c r="C16" s="25">
        <f t="shared" si="0"/>
        <v>20</v>
      </c>
      <c r="D16" s="25">
        <v>80</v>
      </c>
      <c r="E16" s="25">
        <f t="shared" si="1"/>
        <v>16</v>
      </c>
      <c r="F16" s="25">
        <v>100</v>
      </c>
      <c r="G16" s="25">
        <f t="shared" si="2"/>
        <v>10</v>
      </c>
      <c r="H16" s="25">
        <f t="shared" si="3"/>
        <v>46</v>
      </c>
      <c r="I16" s="25">
        <v>93</v>
      </c>
      <c r="J16" s="25">
        <f t="shared" si="5"/>
        <v>46.5</v>
      </c>
      <c r="K16" s="25">
        <f t="shared" si="4"/>
        <v>92.5</v>
      </c>
    </row>
    <row r="17" spans="1:11" x14ac:dyDescent="0.25">
      <c r="A17" s="24" t="s">
        <v>12</v>
      </c>
      <c r="B17" s="25">
        <v>60</v>
      </c>
      <c r="C17" s="25">
        <f t="shared" si="0"/>
        <v>12</v>
      </c>
      <c r="D17" s="25">
        <v>80</v>
      </c>
      <c r="E17" s="25">
        <f t="shared" si="1"/>
        <v>16</v>
      </c>
      <c r="F17" s="25">
        <v>100</v>
      </c>
      <c r="G17" s="25">
        <f t="shared" si="2"/>
        <v>10</v>
      </c>
      <c r="H17" s="25">
        <f t="shared" si="3"/>
        <v>38</v>
      </c>
      <c r="I17" s="25">
        <v>85</v>
      </c>
      <c r="J17" s="25">
        <f t="shared" si="5"/>
        <v>42.5</v>
      </c>
      <c r="K17" s="25">
        <f t="shared" si="4"/>
        <v>80.5</v>
      </c>
    </row>
    <row r="18" spans="1:11" x14ac:dyDescent="0.25">
      <c r="A18" s="24" t="s">
        <v>13</v>
      </c>
      <c r="B18" s="25">
        <v>50</v>
      </c>
      <c r="C18" s="25">
        <f t="shared" si="0"/>
        <v>10</v>
      </c>
      <c r="D18" s="25">
        <v>80</v>
      </c>
      <c r="E18" s="25">
        <f t="shared" si="1"/>
        <v>16</v>
      </c>
      <c r="F18" s="25">
        <v>100</v>
      </c>
      <c r="G18" s="25">
        <f t="shared" si="2"/>
        <v>10</v>
      </c>
      <c r="H18" s="25">
        <f t="shared" si="3"/>
        <v>36</v>
      </c>
      <c r="I18" s="25">
        <v>78</v>
      </c>
      <c r="J18" s="25">
        <f t="shared" si="5"/>
        <v>39</v>
      </c>
      <c r="K18" s="25">
        <f t="shared" si="4"/>
        <v>75</v>
      </c>
    </row>
    <row r="19" spans="1:11" x14ac:dyDescent="0.25">
      <c r="A19" s="24" t="s">
        <v>27</v>
      </c>
      <c r="B19" s="25">
        <v>100</v>
      </c>
      <c r="C19" s="25">
        <f t="shared" si="0"/>
        <v>20</v>
      </c>
      <c r="D19" s="25">
        <v>90</v>
      </c>
      <c r="E19" s="25">
        <f t="shared" si="1"/>
        <v>18</v>
      </c>
      <c r="F19" s="25">
        <v>100</v>
      </c>
      <c r="G19" s="25">
        <f t="shared" si="2"/>
        <v>10</v>
      </c>
      <c r="H19" s="25">
        <f t="shared" si="3"/>
        <v>48</v>
      </c>
      <c r="I19" s="25">
        <v>90</v>
      </c>
      <c r="J19" s="25">
        <f t="shared" si="5"/>
        <v>45</v>
      </c>
      <c r="K19" s="25">
        <f t="shared" si="4"/>
        <v>93</v>
      </c>
    </row>
    <row r="20" spans="1:11" x14ac:dyDescent="0.25">
      <c r="A20" s="24" t="s">
        <v>24</v>
      </c>
      <c r="B20" s="25">
        <v>60</v>
      </c>
      <c r="C20" s="25">
        <f t="shared" si="0"/>
        <v>12</v>
      </c>
      <c r="D20" s="25">
        <v>80</v>
      </c>
      <c r="E20" s="25">
        <f t="shared" si="1"/>
        <v>16</v>
      </c>
      <c r="F20" s="25">
        <v>100</v>
      </c>
      <c r="G20" s="25">
        <f t="shared" si="2"/>
        <v>10</v>
      </c>
      <c r="H20" s="25">
        <f t="shared" si="3"/>
        <v>38</v>
      </c>
      <c r="I20" s="25">
        <v>78</v>
      </c>
      <c r="J20" s="25">
        <f t="shared" si="5"/>
        <v>39</v>
      </c>
      <c r="K20" s="25">
        <f t="shared" si="4"/>
        <v>77</v>
      </c>
    </row>
    <row r="21" spans="1:11" x14ac:dyDescent="0.25">
      <c r="A21" s="24" t="s">
        <v>26</v>
      </c>
      <c r="B21" s="25">
        <v>100</v>
      </c>
      <c r="C21" s="25">
        <f t="shared" si="0"/>
        <v>20</v>
      </c>
      <c r="D21" s="25">
        <v>96</v>
      </c>
      <c r="E21" s="25">
        <f t="shared" si="1"/>
        <v>19.200000000000003</v>
      </c>
      <c r="F21" s="25">
        <v>100</v>
      </c>
      <c r="G21" s="25">
        <f t="shared" si="2"/>
        <v>10</v>
      </c>
      <c r="H21" s="25">
        <f t="shared" si="3"/>
        <v>49.2</v>
      </c>
      <c r="I21" s="25">
        <v>95</v>
      </c>
      <c r="J21" s="25">
        <f t="shared" si="5"/>
        <v>47.5</v>
      </c>
      <c r="K21" s="25">
        <f t="shared" si="4"/>
        <v>96.7</v>
      </c>
    </row>
    <row r="22" spans="1:11" x14ac:dyDescent="0.25">
      <c r="A22" s="24" t="s">
        <v>28</v>
      </c>
      <c r="B22" s="25">
        <v>70</v>
      </c>
      <c r="C22" s="25">
        <f t="shared" si="0"/>
        <v>14</v>
      </c>
      <c r="D22" s="25">
        <v>80</v>
      </c>
      <c r="E22" s="25">
        <f t="shared" si="1"/>
        <v>16</v>
      </c>
      <c r="F22" s="25">
        <v>100</v>
      </c>
      <c r="G22" s="25">
        <f t="shared" si="2"/>
        <v>10</v>
      </c>
      <c r="H22" s="25">
        <f t="shared" si="3"/>
        <v>40</v>
      </c>
      <c r="I22" s="25">
        <v>85</v>
      </c>
      <c r="J22" s="25">
        <f t="shared" si="5"/>
        <v>42.5</v>
      </c>
      <c r="K22" s="25">
        <f t="shared" si="4"/>
        <v>82.5</v>
      </c>
    </row>
    <row r="23" spans="1:11" x14ac:dyDescent="0.25">
      <c r="A23" s="24" t="s">
        <v>25</v>
      </c>
      <c r="B23" s="25">
        <v>100</v>
      </c>
      <c r="C23" s="25">
        <f t="shared" si="0"/>
        <v>20</v>
      </c>
      <c r="D23" s="25">
        <v>90</v>
      </c>
      <c r="E23" s="25">
        <f t="shared" si="1"/>
        <v>18</v>
      </c>
      <c r="F23" s="25">
        <v>100</v>
      </c>
      <c r="G23" s="25">
        <f t="shared" si="2"/>
        <v>10</v>
      </c>
      <c r="H23" s="25">
        <f t="shared" si="3"/>
        <v>48</v>
      </c>
      <c r="I23" s="25">
        <v>90</v>
      </c>
      <c r="J23" s="25">
        <f t="shared" si="5"/>
        <v>45</v>
      </c>
      <c r="K23" s="25">
        <f t="shared" si="4"/>
        <v>93</v>
      </c>
    </row>
    <row r="24" spans="1:11" x14ac:dyDescent="0.25">
      <c r="A24" s="24" t="s">
        <v>31</v>
      </c>
      <c r="B24" s="25">
        <v>100</v>
      </c>
      <c r="C24" s="25">
        <f t="shared" si="0"/>
        <v>20</v>
      </c>
      <c r="D24" s="25">
        <v>100</v>
      </c>
      <c r="E24" s="25">
        <f t="shared" si="1"/>
        <v>20</v>
      </c>
      <c r="F24" s="25">
        <v>100</v>
      </c>
      <c r="G24" s="25">
        <f t="shared" si="2"/>
        <v>10</v>
      </c>
      <c r="H24" s="25">
        <f t="shared" si="3"/>
        <v>50</v>
      </c>
      <c r="I24" s="25">
        <v>100</v>
      </c>
      <c r="J24" s="25">
        <f t="shared" si="5"/>
        <v>50</v>
      </c>
      <c r="K24" s="25">
        <f t="shared" si="4"/>
        <v>100</v>
      </c>
    </row>
    <row r="25" spans="1:11" x14ac:dyDescent="0.25">
      <c r="A25" s="24" t="s">
        <v>14</v>
      </c>
      <c r="B25" s="25">
        <v>90</v>
      </c>
      <c r="C25" s="25">
        <f t="shared" si="0"/>
        <v>18</v>
      </c>
      <c r="D25" s="25">
        <v>70</v>
      </c>
      <c r="E25" s="25">
        <f t="shared" si="1"/>
        <v>14</v>
      </c>
      <c r="F25" s="25">
        <v>100</v>
      </c>
      <c r="G25" s="25">
        <f t="shared" si="2"/>
        <v>10</v>
      </c>
      <c r="H25" s="25">
        <f t="shared" si="3"/>
        <v>42</v>
      </c>
      <c r="I25" s="25">
        <v>50</v>
      </c>
      <c r="J25" s="25">
        <f t="shared" si="5"/>
        <v>25</v>
      </c>
      <c r="K25" s="25">
        <f t="shared" si="4"/>
        <v>67</v>
      </c>
    </row>
    <row r="26" spans="1:11" x14ac:dyDescent="0.25">
      <c r="A26" s="24" t="s">
        <v>16</v>
      </c>
      <c r="B26" s="25">
        <v>100</v>
      </c>
      <c r="C26" s="25">
        <f t="shared" si="0"/>
        <v>20</v>
      </c>
      <c r="D26" s="25">
        <v>100</v>
      </c>
      <c r="E26" s="25">
        <f t="shared" si="1"/>
        <v>20</v>
      </c>
      <c r="F26" s="25">
        <v>100</v>
      </c>
      <c r="G26" s="25">
        <f t="shared" si="2"/>
        <v>10</v>
      </c>
      <c r="H26" s="25">
        <f t="shared" si="3"/>
        <v>50</v>
      </c>
      <c r="I26" s="25">
        <v>98</v>
      </c>
      <c r="J26" s="25">
        <f t="shared" si="5"/>
        <v>49</v>
      </c>
      <c r="K26" s="25">
        <f t="shared" si="4"/>
        <v>99</v>
      </c>
    </row>
    <row r="27" spans="1:11" x14ac:dyDescent="0.25">
      <c r="A27" s="24" t="s">
        <v>29</v>
      </c>
      <c r="B27" s="25">
        <v>80</v>
      </c>
      <c r="C27" s="25">
        <f t="shared" si="0"/>
        <v>16</v>
      </c>
      <c r="D27" s="25">
        <v>96</v>
      </c>
      <c r="E27" s="25">
        <f t="shared" si="1"/>
        <v>19.200000000000003</v>
      </c>
      <c r="F27" s="25">
        <v>100</v>
      </c>
      <c r="G27" s="25">
        <f t="shared" si="2"/>
        <v>10</v>
      </c>
      <c r="H27" s="25">
        <f t="shared" si="3"/>
        <v>45.2</v>
      </c>
      <c r="I27" s="25">
        <v>85</v>
      </c>
      <c r="J27" s="25">
        <f t="shared" si="5"/>
        <v>42.5</v>
      </c>
      <c r="K27" s="25">
        <f t="shared" si="4"/>
        <v>87.7</v>
      </c>
    </row>
    <row r="28" spans="1:11" x14ac:dyDescent="0.25">
      <c r="A28" s="24" t="s">
        <v>15</v>
      </c>
      <c r="B28" s="25">
        <v>60</v>
      </c>
      <c r="C28" s="25">
        <f t="shared" si="0"/>
        <v>12</v>
      </c>
      <c r="D28" s="25">
        <v>50</v>
      </c>
      <c r="E28" s="25">
        <f t="shared" si="1"/>
        <v>10</v>
      </c>
      <c r="F28" s="25">
        <v>100</v>
      </c>
      <c r="G28" s="25">
        <f t="shared" si="2"/>
        <v>10</v>
      </c>
      <c r="H28" s="25">
        <f t="shared" si="3"/>
        <v>32</v>
      </c>
      <c r="I28" s="25">
        <v>90</v>
      </c>
      <c r="J28" s="25">
        <f t="shared" si="5"/>
        <v>45</v>
      </c>
      <c r="K28" s="25">
        <f t="shared" si="4"/>
        <v>77</v>
      </c>
    </row>
    <row r="29" spans="1:11" x14ac:dyDescent="0.25">
      <c r="A29" s="24" t="s">
        <v>30</v>
      </c>
      <c r="B29" s="25">
        <v>100</v>
      </c>
      <c r="C29" s="25">
        <f t="shared" si="0"/>
        <v>20</v>
      </c>
      <c r="D29" s="25">
        <v>90</v>
      </c>
      <c r="E29" s="25">
        <f t="shared" si="1"/>
        <v>18</v>
      </c>
      <c r="F29" s="25">
        <v>100</v>
      </c>
      <c r="G29" s="25">
        <f t="shared" si="2"/>
        <v>10</v>
      </c>
      <c r="H29" s="25">
        <f t="shared" si="3"/>
        <v>48</v>
      </c>
      <c r="I29" s="25">
        <v>90</v>
      </c>
      <c r="J29" s="25">
        <f t="shared" si="5"/>
        <v>45</v>
      </c>
      <c r="K29" s="25">
        <f t="shared" si="4"/>
        <v>93</v>
      </c>
    </row>
    <row r="30" spans="1:11" x14ac:dyDescent="0.25">
      <c r="A30" s="27" t="s">
        <v>145</v>
      </c>
      <c r="B30" s="28"/>
      <c r="C30" s="25">
        <f>B30*20%</f>
        <v>0</v>
      </c>
      <c r="D30" s="25"/>
      <c r="E30" s="25">
        <f>D30*20%</f>
        <v>0</v>
      </c>
      <c r="F30" s="25">
        <v>100</v>
      </c>
      <c r="G30" s="25">
        <f>F30*10%</f>
        <v>10</v>
      </c>
      <c r="H30" s="25">
        <f>C30+E30+G30</f>
        <v>10</v>
      </c>
      <c r="I30" s="25">
        <v>90</v>
      </c>
      <c r="J30" s="25">
        <f>I30*50%</f>
        <v>45</v>
      </c>
      <c r="K30" s="25">
        <f>H30+J30</f>
        <v>55</v>
      </c>
    </row>
    <row r="31" spans="1:11" x14ac:dyDescent="0.25">
      <c r="A31" s="27" t="s">
        <v>88</v>
      </c>
      <c r="B31" s="28">
        <v>60</v>
      </c>
      <c r="C31" s="25">
        <f>B31*20%</f>
        <v>12</v>
      </c>
      <c r="D31" s="25">
        <v>80</v>
      </c>
      <c r="E31" s="25">
        <f>D31*20%</f>
        <v>16</v>
      </c>
      <c r="F31" s="25">
        <v>100</v>
      </c>
      <c r="G31" s="25">
        <f>F31*10%</f>
        <v>10</v>
      </c>
      <c r="H31" s="25">
        <f>C31+E31+G31</f>
        <v>38</v>
      </c>
      <c r="I31" s="25">
        <v>90</v>
      </c>
      <c r="J31" s="25">
        <f>I31*50%</f>
        <v>45</v>
      </c>
      <c r="K31" s="25">
        <f>H31+J31</f>
        <v>83</v>
      </c>
    </row>
    <row r="32" spans="1:11" x14ac:dyDescent="0.25">
      <c r="A32" s="27" t="s">
        <v>89</v>
      </c>
      <c r="B32" s="28">
        <v>50</v>
      </c>
      <c r="C32" s="25">
        <f>B32*20%</f>
        <v>10</v>
      </c>
      <c r="D32" s="25">
        <v>60</v>
      </c>
      <c r="E32" s="25">
        <f>D32*20%</f>
        <v>12</v>
      </c>
      <c r="F32" s="25">
        <v>100</v>
      </c>
      <c r="G32" s="25">
        <f>F32*10%</f>
        <v>10</v>
      </c>
      <c r="H32" s="25">
        <f>C32+E32+G32</f>
        <v>32</v>
      </c>
      <c r="I32" s="25">
        <v>95</v>
      </c>
      <c r="J32" s="25">
        <f>I32*50%</f>
        <v>47.5</v>
      </c>
      <c r="K32" s="25">
        <f>H32+J32</f>
        <v>79.5</v>
      </c>
    </row>
    <row r="33" spans="1:11" x14ac:dyDescent="0.25">
      <c r="A33" s="27" t="s">
        <v>90</v>
      </c>
      <c r="B33" s="28">
        <v>50</v>
      </c>
      <c r="C33" s="25">
        <f t="shared" ref="C33:C80" si="6">B33*20%</f>
        <v>10</v>
      </c>
      <c r="D33" s="25">
        <v>100</v>
      </c>
      <c r="E33" s="25">
        <f t="shared" ref="E33:E80" si="7">D33*20%</f>
        <v>20</v>
      </c>
      <c r="F33" s="25">
        <v>100</v>
      </c>
      <c r="G33" s="25">
        <f t="shared" ref="G33:G80" si="8">F33*10%</f>
        <v>10</v>
      </c>
      <c r="H33" s="25">
        <f t="shared" ref="H33:H80" si="9">C33+E33+G33</f>
        <v>40</v>
      </c>
      <c r="I33" s="25">
        <v>100</v>
      </c>
      <c r="J33" s="25">
        <f t="shared" ref="J33:J80" si="10">I33*50%</f>
        <v>50</v>
      </c>
      <c r="K33" s="25">
        <f t="shared" ref="K33:K80" si="11">H33+J33</f>
        <v>90</v>
      </c>
    </row>
    <row r="34" spans="1:11" x14ac:dyDescent="0.25">
      <c r="A34" s="27" t="s">
        <v>91</v>
      </c>
      <c r="B34" s="28">
        <v>50</v>
      </c>
      <c r="C34" s="25">
        <f t="shared" si="6"/>
        <v>10</v>
      </c>
      <c r="D34" s="25">
        <v>100</v>
      </c>
      <c r="E34" s="25">
        <f t="shared" si="7"/>
        <v>20</v>
      </c>
      <c r="F34" s="25">
        <v>100</v>
      </c>
      <c r="G34" s="25">
        <f t="shared" si="8"/>
        <v>10</v>
      </c>
      <c r="H34" s="25">
        <f t="shared" si="9"/>
        <v>40</v>
      </c>
      <c r="I34" s="25">
        <v>100</v>
      </c>
      <c r="J34" s="25">
        <f t="shared" si="10"/>
        <v>50</v>
      </c>
      <c r="K34" s="25">
        <f t="shared" si="11"/>
        <v>90</v>
      </c>
    </row>
    <row r="35" spans="1:11" x14ac:dyDescent="0.25">
      <c r="A35" s="27" t="s">
        <v>92</v>
      </c>
      <c r="B35" s="28">
        <v>100</v>
      </c>
      <c r="C35" s="25">
        <f t="shared" si="6"/>
        <v>20</v>
      </c>
      <c r="D35" s="25">
        <v>70</v>
      </c>
      <c r="E35" s="25">
        <f t="shared" si="7"/>
        <v>14</v>
      </c>
      <c r="F35" s="25">
        <v>100</v>
      </c>
      <c r="G35" s="25">
        <f t="shared" si="8"/>
        <v>10</v>
      </c>
      <c r="H35" s="25">
        <f t="shared" si="9"/>
        <v>44</v>
      </c>
      <c r="I35" s="25">
        <v>100</v>
      </c>
      <c r="J35" s="25">
        <f t="shared" si="10"/>
        <v>50</v>
      </c>
      <c r="K35" s="25">
        <f t="shared" si="11"/>
        <v>94</v>
      </c>
    </row>
    <row r="36" spans="1:11" x14ac:dyDescent="0.25">
      <c r="A36" s="27" t="s">
        <v>93</v>
      </c>
      <c r="B36" s="28">
        <v>100</v>
      </c>
      <c r="C36" s="25">
        <f t="shared" si="6"/>
        <v>20</v>
      </c>
      <c r="D36" s="25">
        <v>100</v>
      </c>
      <c r="E36" s="25">
        <f t="shared" si="7"/>
        <v>20</v>
      </c>
      <c r="F36" s="25">
        <v>100</v>
      </c>
      <c r="G36" s="25">
        <f t="shared" si="8"/>
        <v>10</v>
      </c>
      <c r="H36" s="25">
        <f t="shared" si="9"/>
        <v>50</v>
      </c>
      <c r="I36" s="25">
        <v>95</v>
      </c>
      <c r="J36" s="25">
        <f t="shared" si="10"/>
        <v>47.5</v>
      </c>
      <c r="K36" s="25">
        <f t="shared" si="11"/>
        <v>97.5</v>
      </c>
    </row>
    <row r="37" spans="1:11" x14ac:dyDescent="0.25">
      <c r="A37" s="27" t="s">
        <v>94</v>
      </c>
      <c r="B37" s="28">
        <v>80</v>
      </c>
      <c r="C37" s="25">
        <f t="shared" si="6"/>
        <v>16</v>
      </c>
      <c r="D37" s="25">
        <v>80</v>
      </c>
      <c r="E37" s="25">
        <f t="shared" si="7"/>
        <v>16</v>
      </c>
      <c r="F37" s="25">
        <v>100</v>
      </c>
      <c r="G37" s="25">
        <f t="shared" si="8"/>
        <v>10</v>
      </c>
      <c r="H37" s="25">
        <f t="shared" si="9"/>
        <v>42</v>
      </c>
      <c r="I37" s="25">
        <v>90</v>
      </c>
      <c r="J37" s="25">
        <f t="shared" si="10"/>
        <v>45</v>
      </c>
      <c r="K37" s="25">
        <f t="shared" si="11"/>
        <v>87</v>
      </c>
    </row>
    <row r="38" spans="1:11" x14ac:dyDescent="0.25">
      <c r="A38" s="27" t="s">
        <v>95</v>
      </c>
      <c r="B38" s="28">
        <v>100</v>
      </c>
      <c r="C38" s="25">
        <f t="shared" si="6"/>
        <v>20</v>
      </c>
      <c r="D38" s="25">
        <v>80</v>
      </c>
      <c r="E38" s="25">
        <f t="shared" si="7"/>
        <v>16</v>
      </c>
      <c r="F38" s="25">
        <v>100</v>
      </c>
      <c r="G38" s="25">
        <f t="shared" si="8"/>
        <v>10</v>
      </c>
      <c r="H38" s="25">
        <f t="shared" si="9"/>
        <v>46</v>
      </c>
      <c r="I38" s="25">
        <v>95</v>
      </c>
      <c r="J38" s="25">
        <f t="shared" si="10"/>
        <v>47.5</v>
      </c>
      <c r="K38" s="25">
        <f t="shared" si="11"/>
        <v>93.5</v>
      </c>
    </row>
    <row r="39" spans="1:11" x14ac:dyDescent="0.25">
      <c r="A39" s="27" t="s">
        <v>96</v>
      </c>
      <c r="B39" s="28">
        <v>50</v>
      </c>
      <c r="C39" s="25">
        <f t="shared" si="6"/>
        <v>10</v>
      </c>
      <c r="D39" s="25">
        <v>45</v>
      </c>
      <c r="E39" s="25">
        <f t="shared" si="7"/>
        <v>9</v>
      </c>
      <c r="F39" s="25">
        <v>100</v>
      </c>
      <c r="G39" s="25">
        <f t="shared" si="8"/>
        <v>10</v>
      </c>
      <c r="H39" s="25">
        <f t="shared" si="9"/>
        <v>29</v>
      </c>
      <c r="I39" s="25">
        <v>95</v>
      </c>
      <c r="J39" s="25">
        <f t="shared" si="10"/>
        <v>47.5</v>
      </c>
      <c r="K39" s="25">
        <f t="shared" si="11"/>
        <v>76.5</v>
      </c>
    </row>
    <row r="40" spans="1:11" x14ac:dyDescent="0.25">
      <c r="A40" s="27" t="s">
        <v>97</v>
      </c>
      <c r="B40" s="28">
        <v>90</v>
      </c>
      <c r="C40" s="25">
        <f t="shared" si="6"/>
        <v>18</v>
      </c>
      <c r="D40" s="25">
        <v>90</v>
      </c>
      <c r="E40" s="25">
        <f t="shared" si="7"/>
        <v>18</v>
      </c>
      <c r="F40" s="25">
        <v>100</v>
      </c>
      <c r="G40" s="25">
        <f t="shared" si="8"/>
        <v>10</v>
      </c>
      <c r="H40" s="25">
        <f t="shared" si="9"/>
        <v>46</v>
      </c>
      <c r="I40" s="25">
        <v>90</v>
      </c>
      <c r="J40" s="25">
        <f t="shared" si="10"/>
        <v>45</v>
      </c>
      <c r="K40" s="25">
        <f t="shared" si="11"/>
        <v>91</v>
      </c>
    </row>
    <row r="41" spans="1:11" x14ac:dyDescent="0.25">
      <c r="A41" s="27" t="s">
        <v>98</v>
      </c>
      <c r="B41" s="28">
        <v>50</v>
      </c>
      <c r="C41" s="25">
        <f t="shared" si="6"/>
        <v>10</v>
      </c>
      <c r="D41" s="25">
        <v>90</v>
      </c>
      <c r="E41" s="25">
        <f t="shared" si="7"/>
        <v>18</v>
      </c>
      <c r="F41" s="25">
        <v>100</v>
      </c>
      <c r="G41" s="25">
        <f t="shared" si="8"/>
        <v>10</v>
      </c>
      <c r="H41" s="25">
        <f t="shared" si="9"/>
        <v>38</v>
      </c>
      <c r="I41" s="25">
        <v>90</v>
      </c>
      <c r="J41" s="25">
        <f t="shared" si="10"/>
        <v>45</v>
      </c>
      <c r="K41" s="25">
        <f t="shared" si="11"/>
        <v>83</v>
      </c>
    </row>
    <row r="42" spans="1:11" x14ac:dyDescent="0.25">
      <c r="A42" s="27" t="s">
        <v>99</v>
      </c>
      <c r="B42" s="28">
        <v>100</v>
      </c>
      <c r="C42" s="25">
        <f t="shared" si="6"/>
        <v>20</v>
      </c>
      <c r="D42" s="25">
        <v>100</v>
      </c>
      <c r="E42" s="25">
        <f t="shared" si="7"/>
        <v>20</v>
      </c>
      <c r="F42" s="25">
        <v>100</v>
      </c>
      <c r="G42" s="25">
        <f t="shared" si="8"/>
        <v>10</v>
      </c>
      <c r="H42" s="25">
        <f t="shared" si="9"/>
        <v>50</v>
      </c>
      <c r="I42" s="25">
        <v>100</v>
      </c>
      <c r="J42" s="25">
        <f t="shared" si="10"/>
        <v>50</v>
      </c>
      <c r="K42" s="25">
        <f t="shared" si="11"/>
        <v>100</v>
      </c>
    </row>
    <row r="43" spans="1:11" x14ac:dyDescent="0.25">
      <c r="A43" s="27" t="s">
        <v>100</v>
      </c>
      <c r="B43" s="28">
        <v>100</v>
      </c>
      <c r="C43" s="25">
        <f t="shared" si="6"/>
        <v>20</v>
      </c>
      <c r="D43" s="25">
        <v>100</v>
      </c>
      <c r="E43" s="25">
        <f t="shared" si="7"/>
        <v>20</v>
      </c>
      <c r="F43" s="25">
        <v>100</v>
      </c>
      <c r="G43" s="25">
        <f t="shared" si="8"/>
        <v>10</v>
      </c>
      <c r="H43" s="25">
        <f t="shared" si="9"/>
        <v>50</v>
      </c>
      <c r="I43" s="25">
        <v>100</v>
      </c>
      <c r="J43" s="25">
        <f t="shared" si="10"/>
        <v>50</v>
      </c>
      <c r="K43" s="25">
        <f t="shared" si="11"/>
        <v>100</v>
      </c>
    </row>
    <row r="44" spans="1:11" x14ac:dyDescent="0.25">
      <c r="A44" s="27" t="s">
        <v>101</v>
      </c>
      <c r="B44" s="28">
        <v>100</v>
      </c>
      <c r="C44" s="25">
        <f t="shared" si="6"/>
        <v>20</v>
      </c>
      <c r="D44" s="25">
        <v>100</v>
      </c>
      <c r="E44" s="25">
        <f t="shared" si="7"/>
        <v>20</v>
      </c>
      <c r="F44" s="25">
        <v>100</v>
      </c>
      <c r="G44" s="25">
        <f t="shared" si="8"/>
        <v>10</v>
      </c>
      <c r="H44" s="25">
        <f t="shared" si="9"/>
        <v>50</v>
      </c>
      <c r="I44" s="25">
        <v>95</v>
      </c>
      <c r="J44" s="25">
        <f t="shared" si="10"/>
        <v>47.5</v>
      </c>
      <c r="K44" s="25">
        <f t="shared" si="11"/>
        <v>97.5</v>
      </c>
    </row>
    <row r="45" spans="1:11" x14ac:dyDescent="0.25">
      <c r="A45" s="27" t="s">
        <v>102</v>
      </c>
      <c r="B45" s="28">
        <v>50</v>
      </c>
      <c r="C45" s="25">
        <f t="shared" si="6"/>
        <v>10</v>
      </c>
      <c r="D45" s="25">
        <v>45</v>
      </c>
      <c r="E45" s="25">
        <f t="shared" si="7"/>
        <v>9</v>
      </c>
      <c r="F45" s="25">
        <v>100</v>
      </c>
      <c r="G45" s="25">
        <f t="shared" si="8"/>
        <v>10</v>
      </c>
      <c r="H45" s="25">
        <f t="shared" si="9"/>
        <v>29</v>
      </c>
      <c r="I45" s="25">
        <v>90</v>
      </c>
      <c r="J45" s="25">
        <f t="shared" si="10"/>
        <v>45</v>
      </c>
      <c r="K45" s="25">
        <f t="shared" si="11"/>
        <v>74</v>
      </c>
    </row>
    <row r="46" spans="1:11" x14ac:dyDescent="0.25">
      <c r="A46" s="27" t="s">
        <v>103</v>
      </c>
      <c r="B46" s="28">
        <v>90</v>
      </c>
      <c r="C46" s="25">
        <f t="shared" si="6"/>
        <v>18</v>
      </c>
      <c r="D46" s="25">
        <v>100</v>
      </c>
      <c r="E46" s="25">
        <f t="shared" si="7"/>
        <v>20</v>
      </c>
      <c r="F46" s="25">
        <v>100</v>
      </c>
      <c r="G46" s="25">
        <f t="shared" si="8"/>
        <v>10</v>
      </c>
      <c r="H46" s="25">
        <f t="shared" si="9"/>
        <v>48</v>
      </c>
      <c r="I46" s="25">
        <v>95</v>
      </c>
      <c r="J46" s="25">
        <f t="shared" si="10"/>
        <v>47.5</v>
      </c>
      <c r="K46" s="25">
        <f t="shared" si="11"/>
        <v>95.5</v>
      </c>
    </row>
    <row r="47" spans="1:11" x14ac:dyDescent="0.25">
      <c r="A47" s="27" t="s">
        <v>104</v>
      </c>
      <c r="B47" s="28">
        <v>50</v>
      </c>
      <c r="C47" s="25">
        <f t="shared" si="6"/>
        <v>10</v>
      </c>
      <c r="D47" s="25">
        <v>60</v>
      </c>
      <c r="E47" s="25">
        <f t="shared" si="7"/>
        <v>12</v>
      </c>
      <c r="F47" s="25">
        <v>100</v>
      </c>
      <c r="G47" s="25">
        <f t="shared" si="8"/>
        <v>10</v>
      </c>
      <c r="H47" s="25">
        <f t="shared" si="9"/>
        <v>32</v>
      </c>
      <c r="I47" s="25">
        <v>100</v>
      </c>
      <c r="J47" s="25">
        <f t="shared" si="10"/>
        <v>50</v>
      </c>
      <c r="K47" s="25">
        <f t="shared" si="11"/>
        <v>82</v>
      </c>
    </row>
    <row r="48" spans="1:11" x14ac:dyDescent="0.25">
      <c r="A48" s="27" t="s">
        <v>105</v>
      </c>
      <c r="B48" s="28">
        <v>90</v>
      </c>
      <c r="C48" s="25">
        <f t="shared" si="6"/>
        <v>18</v>
      </c>
      <c r="D48" s="25">
        <v>100</v>
      </c>
      <c r="E48" s="25">
        <f t="shared" si="7"/>
        <v>20</v>
      </c>
      <c r="F48" s="25">
        <v>100</v>
      </c>
      <c r="G48" s="25">
        <f t="shared" si="8"/>
        <v>10</v>
      </c>
      <c r="H48" s="25">
        <f t="shared" si="9"/>
        <v>48</v>
      </c>
      <c r="I48" s="25">
        <v>95</v>
      </c>
      <c r="J48" s="25">
        <f t="shared" si="10"/>
        <v>47.5</v>
      </c>
      <c r="K48" s="25">
        <f t="shared" si="11"/>
        <v>95.5</v>
      </c>
    </row>
    <row r="49" spans="1:11" x14ac:dyDescent="0.25">
      <c r="A49" s="27" t="s">
        <v>106</v>
      </c>
      <c r="B49" s="28">
        <v>100</v>
      </c>
      <c r="C49" s="25">
        <f t="shared" si="6"/>
        <v>20</v>
      </c>
      <c r="D49" s="25">
        <v>90</v>
      </c>
      <c r="E49" s="25">
        <f t="shared" si="7"/>
        <v>18</v>
      </c>
      <c r="F49" s="25">
        <v>100</v>
      </c>
      <c r="G49" s="25">
        <f t="shared" si="8"/>
        <v>10</v>
      </c>
      <c r="H49" s="25">
        <f t="shared" si="9"/>
        <v>48</v>
      </c>
      <c r="I49" s="25">
        <v>95</v>
      </c>
      <c r="J49" s="25">
        <f t="shared" si="10"/>
        <v>47.5</v>
      </c>
      <c r="K49" s="25">
        <f t="shared" si="11"/>
        <v>95.5</v>
      </c>
    </row>
    <row r="50" spans="1:11" x14ac:dyDescent="0.25">
      <c r="A50" s="27" t="s">
        <v>107</v>
      </c>
      <c r="B50" s="28">
        <v>100</v>
      </c>
      <c r="C50" s="25">
        <f t="shared" si="6"/>
        <v>20</v>
      </c>
      <c r="D50" s="25">
        <v>100</v>
      </c>
      <c r="E50" s="25">
        <f t="shared" si="7"/>
        <v>20</v>
      </c>
      <c r="F50" s="25">
        <v>100</v>
      </c>
      <c r="G50" s="25">
        <f t="shared" si="8"/>
        <v>10</v>
      </c>
      <c r="H50" s="25">
        <f t="shared" si="9"/>
        <v>50</v>
      </c>
      <c r="I50" s="25">
        <v>95</v>
      </c>
      <c r="J50" s="25">
        <f t="shared" si="10"/>
        <v>47.5</v>
      </c>
      <c r="K50" s="25">
        <f t="shared" si="11"/>
        <v>97.5</v>
      </c>
    </row>
    <row r="51" spans="1:11" x14ac:dyDescent="0.25">
      <c r="A51" s="27" t="s">
        <v>108</v>
      </c>
      <c r="B51" s="28">
        <v>100</v>
      </c>
      <c r="C51" s="25">
        <f t="shared" si="6"/>
        <v>20</v>
      </c>
      <c r="D51" s="25">
        <v>100</v>
      </c>
      <c r="E51" s="25">
        <f t="shared" si="7"/>
        <v>20</v>
      </c>
      <c r="F51" s="25">
        <v>100</v>
      </c>
      <c r="G51" s="25">
        <f t="shared" si="8"/>
        <v>10</v>
      </c>
      <c r="H51" s="25">
        <f t="shared" si="9"/>
        <v>50</v>
      </c>
      <c r="I51" s="25">
        <v>100</v>
      </c>
      <c r="J51" s="25">
        <f t="shared" si="10"/>
        <v>50</v>
      </c>
      <c r="K51" s="25">
        <f t="shared" si="11"/>
        <v>100</v>
      </c>
    </row>
    <row r="52" spans="1:11" x14ac:dyDescent="0.25">
      <c r="A52" s="27" t="s">
        <v>109</v>
      </c>
      <c r="B52" s="28">
        <v>50</v>
      </c>
      <c r="C52" s="25">
        <f t="shared" si="6"/>
        <v>10</v>
      </c>
      <c r="D52" s="25">
        <v>80</v>
      </c>
      <c r="E52" s="25">
        <f t="shared" si="7"/>
        <v>16</v>
      </c>
      <c r="F52" s="25">
        <v>100</v>
      </c>
      <c r="G52" s="25">
        <f t="shared" si="8"/>
        <v>10</v>
      </c>
      <c r="H52" s="25">
        <f t="shared" si="9"/>
        <v>36</v>
      </c>
      <c r="I52" s="25">
        <v>90</v>
      </c>
      <c r="J52" s="25">
        <f t="shared" si="10"/>
        <v>45</v>
      </c>
      <c r="K52" s="25">
        <f t="shared" si="11"/>
        <v>81</v>
      </c>
    </row>
    <row r="53" spans="1:11" x14ac:dyDescent="0.25">
      <c r="A53" s="27" t="s">
        <v>110</v>
      </c>
      <c r="B53" s="28">
        <v>50</v>
      </c>
      <c r="C53" s="25">
        <f t="shared" si="6"/>
        <v>10</v>
      </c>
      <c r="D53" s="25">
        <v>70</v>
      </c>
      <c r="E53" s="25">
        <f t="shared" si="7"/>
        <v>14</v>
      </c>
      <c r="F53" s="25">
        <v>100</v>
      </c>
      <c r="G53" s="25">
        <f t="shared" si="8"/>
        <v>10</v>
      </c>
      <c r="H53" s="25">
        <f t="shared" si="9"/>
        <v>34</v>
      </c>
      <c r="I53" s="25">
        <v>95</v>
      </c>
      <c r="J53" s="25">
        <f t="shared" si="10"/>
        <v>47.5</v>
      </c>
      <c r="K53" s="25">
        <f t="shared" si="11"/>
        <v>81.5</v>
      </c>
    </row>
    <row r="54" spans="1:11" x14ac:dyDescent="0.25">
      <c r="A54" s="27" t="s">
        <v>111</v>
      </c>
      <c r="B54" s="28">
        <v>50</v>
      </c>
      <c r="C54" s="25">
        <f t="shared" si="6"/>
        <v>10</v>
      </c>
      <c r="D54" s="25">
        <v>70</v>
      </c>
      <c r="E54" s="25">
        <f t="shared" si="7"/>
        <v>14</v>
      </c>
      <c r="F54" s="25">
        <v>100</v>
      </c>
      <c r="G54" s="25">
        <f t="shared" si="8"/>
        <v>10</v>
      </c>
      <c r="H54" s="25">
        <f t="shared" si="9"/>
        <v>34</v>
      </c>
      <c r="I54" s="25">
        <v>95</v>
      </c>
      <c r="J54" s="25">
        <f t="shared" si="10"/>
        <v>47.5</v>
      </c>
      <c r="K54" s="25">
        <f t="shared" si="11"/>
        <v>81.5</v>
      </c>
    </row>
    <row r="55" spans="1:11" s="57" customFormat="1" x14ac:dyDescent="0.25">
      <c r="A55" s="61" t="s">
        <v>112</v>
      </c>
      <c r="B55" s="62">
        <v>60</v>
      </c>
      <c r="C55" s="63">
        <f t="shared" si="6"/>
        <v>12</v>
      </c>
      <c r="D55" s="63">
        <v>40</v>
      </c>
      <c r="E55" s="63">
        <f t="shared" si="7"/>
        <v>8</v>
      </c>
      <c r="F55" s="63">
        <v>100</v>
      </c>
      <c r="G55" s="63">
        <f t="shared" si="8"/>
        <v>10</v>
      </c>
      <c r="H55" s="63">
        <f t="shared" si="9"/>
        <v>30</v>
      </c>
      <c r="I55" s="63">
        <v>80</v>
      </c>
      <c r="J55" s="63">
        <f t="shared" si="10"/>
        <v>40</v>
      </c>
      <c r="K55" s="63">
        <f t="shared" si="11"/>
        <v>70</v>
      </c>
    </row>
    <row r="56" spans="1:11" x14ac:dyDescent="0.25">
      <c r="A56" s="27" t="s">
        <v>113</v>
      </c>
      <c r="B56" s="28">
        <v>60</v>
      </c>
      <c r="C56" s="25">
        <f t="shared" si="6"/>
        <v>12</v>
      </c>
      <c r="D56" s="25">
        <v>100</v>
      </c>
      <c r="E56" s="25">
        <f t="shared" si="7"/>
        <v>20</v>
      </c>
      <c r="F56" s="25">
        <v>100</v>
      </c>
      <c r="G56" s="25">
        <f t="shared" si="8"/>
        <v>10</v>
      </c>
      <c r="H56" s="25">
        <f t="shared" si="9"/>
        <v>42</v>
      </c>
      <c r="I56" s="25">
        <v>95</v>
      </c>
      <c r="J56" s="25">
        <f t="shared" si="10"/>
        <v>47.5</v>
      </c>
      <c r="K56" s="25">
        <f t="shared" si="11"/>
        <v>89.5</v>
      </c>
    </row>
    <row r="57" spans="1:11" x14ac:dyDescent="0.25">
      <c r="A57" s="27" t="s">
        <v>114</v>
      </c>
      <c r="B57" s="28">
        <v>100</v>
      </c>
      <c r="C57" s="25">
        <f t="shared" si="6"/>
        <v>20</v>
      </c>
      <c r="D57" s="25">
        <v>98</v>
      </c>
      <c r="E57" s="25">
        <f t="shared" si="7"/>
        <v>19.600000000000001</v>
      </c>
      <c r="F57" s="25">
        <v>100</v>
      </c>
      <c r="G57" s="25">
        <f t="shared" si="8"/>
        <v>10</v>
      </c>
      <c r="H57" s="25">
        <f t="shared" si="9"/>
        <v>49.6</v>
      </c>
      <c r="I57" s="25">
        <v>100</v>
      </c>
      <c r="J57" s="25">
        <f t="shared" si="10"/>
        <v>50</v>
      </c>
      <c r="K57" s="25">
        <f t="shared" si="11"/>
        <v>99.6</v>
      </c>
    </row>
    <row r="58" spans="1:11" x14ac:dyDescent="0.25">
      <c r="A58" s="27" t="s">
        <v>115</v>
      </c>
      <c r="B58" s="28">
        <v>80</v>
      </c>
      <c r="C58" s="25">
        <f t="shared" si="6"/>
        <v>16</v>
      </c>
      <c r="D58" s="25">
        <v>60</v>
      </c>
      <c r="E58" s="25">
        <f t="shared" si="7"/>
        <v>12</v>
      </c>
      <c r="F58" s="25">
        <v>100</v>
      </c>
      <c r="G58" s="25">
        <f t="shared" si="8"/>
        <v>10</v>
      </c>
      <c r="H58" s="25">
        <f t="shared" si="9"/>
        <v>38</v>
      </c>
      <c r="I58" s="25">
        <v>73</v>
      </c>
      <c r="J58" s="25">
        <f t="shared" si="10"/>
        <v>36.5</v>
      </c>
      <c r="K58" s="25">
        <f t="shared" si="11"/>
        <v>74.5</v>
      </c>
    </row>
    <row r="59" spans="1:11" x14ac:dyDescent="0.25">
      <c r="A59" s="27" t="s">
        <v>116</v>
      </c>
      <c r="B59" s="28">
        <v>100</v>
      </c>
      <c r="C59" s="25">
        <f t="shared" si="6"/>
        <v>20</v>
      </c>
      <c r="D59" s="25">
        <v>95</v>
      </c>
      <c r="E59" s="25">
        <f t="shared" si="7"/>
        <v>19</v>
      </c>
      <c r="F59" s="25">
        <v>100</v>
      </c>
      <c r="G59" s="25">
        <f t="shared" si="8"/>
        <v>10</v>
      </c>
      <c r="H59" s="25">
        <f t="shared" si="9"/>
        <v>49</v>
      </c>
      <c r="I59" s="25">
        <v>88</v>
      </c>
      <c r="J59" s="25">
        <f t="shared" si="10"/>
        <v>44</v>
      </c>
      <c r="K59" s="25">
        <f t="shared" si="11"/>
        <v>93</v>
      </c>
    </row>
    <row r="60" spans="1:11" x14ac:dyDescent="0.25">
      <c r="A60" s="27" t="s">
        <v>117</v>
      </c>
      <c r="B60" s="28">
        <v>70</v>
      </c>
      <c r="C60" s="25">
        <f t="shared" si="6"/>
        <v>14</v>
      </c>
      <c r="D60" s="25">
        <v>60</v>
      </c>
      <c r="E60" s="25">
        <f t="shared" si="7"/>
        <v>12</v>
      </c>
      <c r="F60" s="25">
        <v>100</v>
      </c>
      <c r="G60" s="25">
        <f t="shared" si="8"/>
        <v>10</v>
      </c>
      <c r="H60" s="25">
        <f t="shared" si="9"/>
        <v>36</v>
      </c>
      <c r="I60" s="25">
        <v>58</v>
      </c>
      <c r="J60" s="25">
        <f t="shared" si="10"/>
        <v>29</v>
      </c>
      <c r="K60" s="25">
        <f t="shared" si="11"/>
        <v>65</v>
      </c>
    </row>
    <row r="61" spans="1:11" x14ac:dyDescent="0.25">
      <c r="A61" s="27" t="s">
        <v>118</v>
      </c>
      <c r="B61" s="28">
        <v>80</v>
      </c>
      <c r="C61" s="25">
        <f t="shared" si="6"/>
        <v>16</v>
      </c>
      <c r="D61" s="25">
        <v>65</v>
      </c>
      <c r="E61" s="25">
        <f t="shared" si="7"/>
        <v>13</v>
      </c>
      <c r="F61" s="25">
        <v>100</v>
      </c>
      <c r="G61" s="25">
        <f t="shared" si="8"/>
        <v>10</v>
      </c>
      <c r="H61" s="25">
        <f t="shared" si="9"/>
        <v>39</v>
      </c>
      <c r="I61" s="25">
        <v>93</v>
      </c>
      <c r="J61" s="25">
        <f t="shared" si="10"/>
        <v>46.5</v>
      </c>
      <c r="K61" s="25">
        <f t="shared" si="11"/>
        <v>85.5</v>
      </c>
    </row>
    <row r="62" spans="1:11" x14ac:dyDescent="0.25">
      <c r="A62" s="27" t="s">
        <v>119</v>
      </c>
      <c r="B62" s="28">
        <v>100</v>
      </c>
      <c r="C62" s="25">
        <f t="shared" si="6"/>
        <v>20</v>
      </c>
      <c r="D62" s="25">
        <v>60</v>
      </c>
      <c r="E62" s="25">
        <f t="shared" si="7"/>
        <v>12</v>
      </c>
      <c r="F62" s="25">
        <v>100</v>
      </c>
      <c r="G62" s="25">
        <f t="shared" si="8"/>
        <v>10</v>
      </c>
      <c r="H62" s="25">
        <f t="shared" si="9"/>
        <v>42</v>
      </c>
      <c r="I62" s="25">
        <v>80</v>
      </c>
      <c r="J62" s="25">
        <f t="shared" si="10"/>
        <v>40</v>
      </c>
      <c r="K62" s="25">
        <f t="shared" si="11"/>
        <v>82</v>
      </c>
    </row>
    <row r="63" spans="1:11" x14ac:dyDescent="0.25">
      <c r="A63" s="27" t="s">
        <v>120</v>
      </c>
      <c r="B63" s="28">
        <v>100</v>
      </c>
      <c r="C63" s="25">
        <f t="shared" si="6"/>
        <v>20</v>
      </c>
      <c r="D63" s="25">
        <v>90</v>
      </c>
      <c r="E63" s="25">
        <f t="shared" si="7"/>
        <v>18</v>
      </c>
      <c r="F63" s="25">
        <v>100</v>
      </c>
      <c r="G63" s="25">
        <f t="shared" si="8"/>
        <v>10</v>
      </c>
      <c r="H63" s="25">
        <f t="shared" si="9"/>
        <v>48</v>
      </c>
      <c r="I63" s="25">
        <v>93</v>
      </c>
      <c r="J63" s="25">
        <f t="shared" si="10"/>
        <v>46.5</v>
      </c>
      <c r="K63" s="25">
        <f t="shared" si="11"/>
        <v>94.5</v>
      </c>
    </row>
    <row r="64" spans="1:11" x14ac:dyDescent="0.25">
      <c r="A64" s="27" t="s">
        <v>121</v>
      </c>
      <c r="B64" s="28">
        <v>100</v>
      </c>
      <c r="C64" s="25">
        <f t="shared" si="6"/>
        <v>20</v>
      </c>
      <c r="D64" s="25">
        <v>99</v>
      </c>
      <c r="E64" s="25">
        <f t="shared" si="7"/>
        <v>19.8</v>
      </c>
      <c r="F64" s="25">
        <v>100</v>
      </c>
      <c r="G64" s="25">
        <f t="shared" si="8"/>
        <v>10</v>
      </c>
      <c r="H64" s="25">
        <f t="shared" si="9"/>
        <v>49.8</v>
      </c>
      <c r="I64" s="25">
        <v>95</v>
      </c>
      <c r="J64" s="25">
        <f t="shared" si="10"/>
        <v>47.5</v>
      </c>
      <c r="K64" s="25">
        <f t="shared" si="11"/>
        <v>97.3</v>
      </c>
    </row>
    <row r="65" spans="1:11" x14ac:dyDescent="0.25">
      <c r="A65" s="27" t="s">
        <v>122</v>
      </c>
      <c r="B65" s="28">
        <v>60</v>
      </c>
      <c r="C65" s="25">
        <f t="shared" si="6"/>
        <v>12</v>
      </c>
      <c r="D65" s="25">
        <v>80</v>
      </c>
      <c r="E65" s="25">
        <f t="shared" si="7"/>
        <v>16</v>
      </c>
      <c r="F65" s="25">
        <v>100</v>
      </c>
      <c r="G65" s="25">
        <f t="shared" si="8"/>
        <v>10</v>
      </c>
      <c r="H65" s="25">
        <f t="shared" si="9"/>
        <v>38</v>
      </c>
      <c r="I65" s="25">
        <v>96</v>
      </c>
      <c r="J65" s="25">
        <f t="shared" si="10"/>
        <v>48</v>
      </c>
      <c r="K65" s="25">
        <f t="shared" si="11"/>
        <v>86</v>
      </c>
    </row>
    <row r="66" spans="1:11" x14ac:dyDescent="0.25">
      <c r="A66" s="27" t="s">
        <v>123</v>
      </c>
      <c r="B66" s="28">
        <v>60</v>
      </c>
      <c r="C66" s="25">
        <f t="shared" si="6"/>
        <v>12</v>
      </c>
      <c r="D66" s="25">
        <v>80</v>
      </c>
      <c r="E66" s="25">
        <f t="shared" si="7"/>
        <v>16</v>
      </c>
      <c r="F66" s="25">
        <v>100</v>
      </c>
      <c r="G66" s="25">
        <f t="shared" si="8"/>
        <v>10</v>
      </c>
      <c r="H66" s="25">
        <f t="shared" si="9"/>
        <v>38</v>
      </c>
      <c r="I66" s="25">
        <v>60</v>
      </c>
      <c r="J66" s="25">
        <f t="shared" si="10"/>
        <v>30</v>
      </c>
      <c r="K66" s="25">
        <f t="shared" si="11"/>
        <v>68</v>
      </c>
    </row>
    <row r="67" spans="1:11" x14ac:dyDescent="0.25">
      <c r="A67" s="27" t="s">
        <v>124</v>
      </c>
      <c r="B67" s="28">
        <v>100</v>
      </c>
      <c r="C67" s="25">
        <f t="shared" si="6"/>
        <v>20</v>
      </c>
      <c r="D67" s="25">
        <v>55</v>
      </c>
      <c r="E67" s="25">
        <f t="shared" si="7"/>
        <v>11</v>
      </c>
      <c r="F67" s="25">
        <v>100</v>
      </c>
      <c r="G67" s="25">
        <f t="shared" si="8"/>
        <v>10</v>
      </c>
      <c r="H67" s="25">
        <f t="shared" si="9"/>
        <v>41</v>
      </c>
      <c r="I67" s="25">
        <v>76</v>
      </c>
      <c r="J67" s="25">
        <f t="shared" si="10"/>
        <v>38</v>
      </c>
      <c r="K67" s="25">
        <f t="shared" si="11"/>
        <v>79</v>
      </c>
    </row>
    <row r="68" spans="1:11" x14ac:dyDescent="0.25">
      <c r="A68" s="27" t="s">
        <v>125</v>
      </c>
      <c r="B68" s="28">
        <v>60</v>
      </c>
      <c r="C68" s="25">
        <f t="shared" si="6"/>
        <v>12</v>
      </c>
      <c r="D68" s="25">
        <v>55</v>
      </c>
      <c r="E68" s="25">
        <f t="shared" si="7"/>
        <v>11</v>
      </c>
      <c r="F68" s="25">
        <v>100</v>
      </c>
      <c r="G68" s="25">
        <f t="shared" si="8"/>
        <v>10</v>
      </c>
      <c r="H68" s="25">
        <f t="shared" si="9"/>
        <v>33</v>
      </c>
      <c r="I68" s="25">
        <v>90</v>
      </c>
      <c r="J68" s="25">
        <f t="shared" si="10"/>
        <v>45</v>
      </c>
      <c r="K68" s="25">
        <f t="shared" si="11"/>
        <v>78</v>
      </c>
    </row>
    <row r="69" spans="1:11" x14ac:dyDescent="0.25">
      <c r="A69" s="27" t="s">
        <v>126</v>
      </c>
      <c r="B69" s="28">
        <v>80</v>
      </c>
      <c r="C69" s="25">
        <f t="shared" si="6"/>
        <v>16</v>
      </c>
      <c r="D69" s="25">
        <v>80</v>
      </c>
      <c r="E69" s="25">
        <f t="shared" si="7"/>
        <v>16</v>
      </c>
      <c r="F69" s="25">
        <v>100</v>
      </c>
      <c r="G69" s="25">
        <f t="shared" si="8"/>
        <v>10</v>
      </c>
      <c r="H69" s="25">
        <f t="shared" si="9"/>
        <v>42</v>
      </c>
      <c r="I69" s="25">
        <v>80</v>
      </c>
      <c r="J69" s="25">
        <f t="shared" si="10"/>
        <v>40</v>
      </c>
      <c r="K69" s="25">
        <f t="shared" si="11"/>
        <v>82</v>
      </c>
    </row>
    <row r="70" spans="1:11" x14ac:dyDescent="0.25">
      <c r="A70" s="27" t="s">
        <v>127</v>
      </c>
      <c r="B70" s="28">
        <v>80</v>
      </c>
      <c r="C70" s="25">
        <f t="shared" si="6"/>
        <v>16</v>
      </c>
      <c r="D70" s="25">
        <v>60</v>
      </c>
      <c r="E70" s="25">
        <f t="shared" si="7"/>
        <v>12</v>
      </c>
      <c r="F70" s="25">
        <v>100</v>
      </c>
      <c r="G70" s="25">
        <f t="shared" si="8"/>
        <v>10</v>
      </c>
      <c r="H70" s="25">
        <f t="shared" si="9"/>
        <v>38</v>
      </c>
      <c r="I70" s="25">
        <v>98</v>
      </c>
      <c r="J70" s="25">
        <f t="shared" si="10"/>
        <v>49</v>
      </c>
      <c r="K70" s="25">
        <f t="shared" si="11"/>
        <v>87</v>
      </c>
    </row>
    <row r="71" spans="1:11" x14ac:dyDescent="0.25">
      <c r="A71" s="27" t="s">
        <v>128</v>
      </c>
      <c r="B71" s="28">
        <v>100</v>
      </c>
      <c r="C71" s="25">
        <f t="shared" si="6"/>
        <v>20</v>
      </c>
      <c r="D71" s="25">
        <v>100</v>
      </c>
      <c r="E71" s="25">
        <f t="shared" si="7"/>
        <v>20</v>
      </c>
      <c r="F71" s="25">
        <v>100</v>
      </c>
      <c r="G71" s="25">
        <f t="shared" si="8"/>
        <v>10</v>
      </c>
      <c r="H71" s="25">
        <f t="shared" si="9"/>
        <v>50</v>
      </c>
      <c r="I71" s="25">
        <v>88</v>
      </c>
      <c r="J71" s="25">
        <f t="shared" si="10"/>
        <v>44</v>
      </c>
      <c r="K71" s="25">
        <f t="shared" si="11"/>
        <v>94</v>
      </c>
    </row>
    <row r="72" spans="1:11" x14ac:dyDescent="0.25">
      <c r="A72" s="27" t="s">
        <v>129</v>
      </c>
      <c r="B72" s="28">
        <v>50</v>
      </c>
      <c r="C72" s="25">
        <f t="shared" si="6"/>
        <v>10</v>
      </c>
      <c r="D72" s="25">
        <v>40</v>
      </c>
      <c r="E72" s="25">
        <f t="shared" si="7"/>
        <v>8</v>
      </c>
      <c r="F72" s="25">
        <v>100</v>
      </c>
      <c r="G72" s="25">
        <f t="shared" si="8"/>
        <v>10</v>
      </c>
      <c r="H72" s="25">
        <f t="shared" si="9"/>
        <v>28</v>
      </c>
      <c r="I72" s="25">
        <v>91</v>
      </c>
      <c r="J72" s="25">
        <f t="shared" si="10"/>
        <v>45.5</v>
      </c>
      <c r="K72" s="25">
        <f t="shared" si="11"/>
        <v>73.5</v>
      </c>
    </row>
    <row r="73" spans="1:11" x14ac:dyDescent="0.25">
      <c r="A73" s="27" t="s">
        <v>130</v>
      </c>
      <c r="B73" s="28">
        <v>60</v>
      </c>
      <c r="C73" s="25">
        <f t="shared" si="6"/>
        <v>12</v>
      </c>
      <c r="D73" s="25">
        <v>90</v>
      </c>
      <c r="E73" s="25">
        <f t="shared" si="7"/>
        <v>18</v>
      </c>
      <c r="F73" s="25">
        <v>100</v>
      </c>
      <c r="G73" s="25">
        <f t="shared" si="8"/>
        <v>10</v>
      </c>
      <c r="H73" s="25">
        <f t="shared" si="9"/>
        <v>40</v>
      </c>
      <c r="I73" s="25"/>
      <c r="J73" s="25">
        <f t="shared" si="10"/>
        <v>0</v>
      </c>
      <c r="K73" s="25">
        <f t="shared" si="11"/>
        <v>40</v>
      </c>
    </row>
    <row r="74" spans="1:11" x14ac:dyDescent="0.25">
      <c r="A74" s="27" t="s">
        <v>131</v>
      </c>
      <c r="B74" s="28">
        <v>60</v>
      </c>
      <c r="C74" s="25">
        <f t="shared" si="6"/>
        <v>12</v>
      </c>
      <c r="D74" s="25">
        <v>85</v>
      </c>
      <c r="E74" s="25">
        <f t="shared" si="7"/>
        <v>17</v>
      </c>
      <c r="F74" s="25">
        <v>100</v>
      </c>
      <c r="G74" s="25">
        <f t="shared" si="8"/>
        <v>10</v>
      </c>
      <c r="H74" s="25">
        <f t="shared" si="9"/>
        <v>39</v>
      </c>
      <c r="I74" s="25">
        <v>98</v>
      </c>
      <c r="J74" s="25">
        <f t="shared" si="10"/>
        <v>49</v>
      </c>
      <c r="K74" s="25">
        <f t="shared" si="11"/>
        <v>88</v>
      </c>
    </row>
    <row r="75" spans="1:11" x14ac:dyDescent="0.25">
      <c r="A75" s="27" t="s">
        <v>132</v>
      </c>
      <c r="B75" s="28">
        <v>80</v>
      </c>
      <c r="C75" s="25">
        <f t="shared" si="6"/>
        <v>16</v>
      </c>
      <c r="D75" s="25">
        <v>100</v>
      </c>
      <c r="E75" s="25">
        <f t="shared" si="7"/>
        <v>20</v>
      </c>
      <c r="F75" s="25">
        <v>100</v>
      </c>
      <c r="G75" s="25">
        <f t="shared" si="8"/>
        <v>10</v>
      </c>
      <c r="H75" s="25">
        <f t="shared" si="9"/>
        <v>46</v>
      </c>
      <c r="I75" s="25">
        <v>100</v>
      </c>
      <c r="J75" s="25">
        <f t="shared" si="10"/>
        <v>50</v>
      </c>
      <c r="K75" s="25">
        <f t="shared" si="11"/>
        <v>96</v>
      </c>
    </row>
    <row r="76" spans="1:11" x14ac:dyDescent="0.25">
      <c r="A76" s="27" t="s">
        <v>133</v>
      </c>
      <c r="B76" s="28">
        <v>100</v>
      </c>
      <c r="C76" s="25">
        <f t="shared" si="6"/>
        <v>20</v>
      </c>
      <c r="D76" s="25">
        <v>90</v>
      </c>
      <c r="E76" s="25">
        <f t="shared" si="7"/>
        <v>18</v>
      </c>
      <c r="F76" s="25">
        <v>100</v>
      </c>
      <c r="G76" s="25">
        <f t="shared" si="8"/>
        <v>10</v>
      </c>
      <c r="H76" s="25">
        <f t="shared" si="9"/>
        <v>48</v>
      </c>
      <c r="I76" s="25">
        <v>100</v>
      </c>
      <c r="J76" s="25">
        <f t="shared" si="10"/>
        <v>50</v>
      </c>
      <c r="K76" s="25">
        <f t="shared" si="11"/>
        <v>98</v>
      </c>
    </row>
    <row r="77" spans="1:11" x14ac:dyDescent="0.25">
      <c r="A77" s="27" t="s">
        <v>134</v>
      </c>
      <c r="B77" s="28">
        <v>100</v>
      </c>
      <c r="C77" s="25">
        <f t="shared" si="6"/>
        <v>20</v>
      </c>
      <c r="D77" s="25">
        <v>100</v>
      </c>
      <c r="E77" s="25">
        <f t="shared" si="7"/>
        <v>20</v>
      </c>
      <c r="F77" s="25">
        <v>100</v>
      </c>
      <c r="G77" s="25">
        <f t="shared" si="8"/>
        <v>10</v>
      </c>
      <c r="H77" s="25">
        <f t="shared" si="9"/>
        <v>50</v>
      </c>
      <c r="I77" s="25">
        <v>95</v>
      </c>
      <c r="J77" s="25">
        <f t="shared" si="10"/>
        <v>47.5</v>
      </c>
      <c r="K77" s="25">
        <f t="shared" si="11"/>
        <v>97.5</v>
      </c>
    </row>
    <row r="78" spans="1:11" x14ac:dyDescent="0.25">
      <c r="A78" s="27" t="s">
        <v>135</v>
      </c>
      <c r="B78" s="28">
        <v>80</v>
      </c>
      <c r="C78" s="25">
        <f t="shared" si="6"/>
        <v>16</v>
      </c>
      <c r="D78" s="25">
        <v>100</v>
      </c>
      <c r="E78" s="25">
        <f t="shared" si="7"/>
        <v>20</v>
      </c>
      <c r="F78" s="25">
        <v>100</v>
      </c>
      <c r="G78" s="25">
        <f t="shared" si="8"/>
        <v>10</v>
      </c>
      <c r="H78" s="25">
        <f t="shared" si="9"/>
        <v>46</v>
      </c>
      <c r="I78" s="25">
        <v>95</v>
      </c>
      <c r="J78" s="25">
        <f t="shared" si="10"/>
        <v>47.5</v>
      </c>
      <c r="K78" s="25">
        <f t="shared" si="11"/>
        <v>93.5</v>
      </c>
    </row>
    <row r="79" spans="1:11" x14ac:dyDescent="0.25">
      <c r="A79" s="27" t="s">
        <v>136</v>
      </c>
      <c r="B79" s="28">
        <v>40</v>
      </c>
      <c r="C79" s="25">
        <f t="shared" si="6"/>
        <v>8</v>
      </c>
      <c r="D79" s="25">
        <v>45</v>
      </c>
      <c r="E79" s="25">
        <f t="shared" si="7"/>
        <v>9</v>
      </c>
      <c r="F79" s="25">
        <v>100</v>
      </c>
      <c r="G79" s="25">
        <f t="shared" si="8"/>
        <v>10</v>
      </c>
      <c r="H79" s="25">
        <f t="shared" si="9"/>
        <v>27</v>
      </c>
      <c r="I79" s="25">
        <v>72</v>
      </c>
      <c r="J79" s="25">
        <f t="shared" si="10"/>
        <v>36</v>
      </c>
      <c r="K79" s="25">
        <f t="shared" si="11"/>
        <v>63</v>
      </c>
    </row>
    <row r="80" spans="1:11" x14ac:dyDescent="0.25">
      <c r="A80" s="29" t="s">
        <v>137</v>
      </c>
      <c r="B80" s="30">
        <v>80</v>
      </c>
      <c r="C80" s="31">
        <f t="shared" si="6"/>
        <v>16</v>
      </c>
      <c r="D80" s="31">
        <v>100</v>
      </c>
      <c r="E80" s="31">
        <f t="shared" si="7"/>
        <v>20</v>
      </c>
      <c r="F80" s="25">
        <v>100</v>
      </c>
      <c r="G80" s="31">
        <f t="shared" si="8"/>
        <v>10</v>
      </c>
      <c r="H80" s="31">
        <f t="shared" si="9"/>
        <v>46</v>
      </c>
      <c r="I80" s="31">
        <v>95</v>
      </c>
      <c r="J80" s="31">
        <f t="shared" si="10"/>
        <v>47.5</v>
      </c>
      <c r="K80" s="31">
        <f t="shared" si="11"/>
        <v>93.5</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A5136-0D3D-4B97-B37D-ADB352E794E6}">
  <sheetPr codeName="Sheet14"/>
  <dimension ref="A1:P80"/>
  <sheetViews>
    <sheetView topLeftCell="A22" workbookViewId="0">
      <selection activeCell="I48" sqref="I48"/>
    </sheetView>
  </sheetViews>
  <sheetFormatPr defaultRowHeight="15" x14ac:dyDescent="0.25"/>
  <cols>
    <col min="1" max="1" width="29.42578125" bestFit="1" customWidth="1"/>
    <col min="3" max="3" width="10.28515625" bestFit="1" customWidth="1"/>
    <col min="4" max="4" width="11.5703125" customWidth="1"/>
    <col min="5" max="5" width="16.42578125" customWidth="1"/>
    <col min="6" max="6" width="15.85546875" customWidth="1"/>
    <col min="7" max="8" width="8.85546875" customWidth="1"/>
    <col min="9" max="9" width="14.42578125" customWidth="1"/>
    <col min="10" max="10" width="19.140625" customWidth="1"/>
    <col min="16" max="16" width="15.140625" customWidth="1"/>
  </cols>
  <sheetData>
    <row r="1" spans="1:16" x14ac:dyDescent="0.25">
      <c r="D1" s="68"/>
      <c r="E1" s="68"/>
      <c r="F1" s="68"/>
      <c r="G1" s="68"/>
      <c r="H1" s="68"/>
      <c r="I1" s="68"/>
      <c r="J1" s="68"/>
    </row>
    <row r="2" spans="1:16" x14ac:dyDescent="0.25">
      <c r="A2" t="s">
        <v>0</v>
      </c>
      <c r="B2" t="s">
        <v>1</v>
      </c>
      <c r="C2" t="s">
        <v>48</v>
      </c>
      <c r="D2" t="s">
        <v>3</v>
      </c>
      <c r="E2" t="s">
        <v>49</v>
      </c>
      <c r="F2" t="s">
        <v>50</v>
      </c>
      <c r="G2" t="s">
        <v>51</v>
      </c>
      <c r="H2" t="s">
        <v>52</v>
      </c>
      <c r="I2" t="s">
        <v>2</v>
      </c>
      <c r="J2" t="s">
        <v>4</v>
      </c>
      <c r="K2" t="s">
        <v>5</v>
      </c>
    </row>
    <row r="3" spans="1:16" x14ac:dyDescent="0.25">
      <c r="A3" t="s">
        <v>20</v>
      </c>
      <c r="B3">
        <v>100</v>
      </c>
      <c r="C3">
        <f>B3*20%</f>
        <v>20</v>
      </c>
      <c r="D3">
        <v>92</v>
      </c>
      <c r="E3">
        <f>D3*20%</f>
        <v>18.400000000000002</v>
      </c>
      <c r="F3">
        <v>100</v>
      </c>
      <c r="G3">
        <f t="shared" ref="G3:G29" si="0">F3*10%</f>
        <v>10</v>
      </c>
      <c r="H3">
        <f>C3+E3+G3</f>
        <v>48.400000000000006</v>
      </c>
      <c r="I3">
        <v>89</v>
      </c>
      <c r="J3">
        <f>I3*50%</f>
        <v>44.5</v>
      </c>
      <c r="K3">
        <f t="shared" ref="K3:K29" si="1">C3+G3+E3+J3</f>
        <v>92.9</v>
      </c>
      <c r="N3" t="s">
        <v>36</v>
      </c>
      <c r="O3" t="s">
        <v>37</v>
      </c>
      <c r="P3" t="s">
        <v>38</v>
      </c>
    </row>
    <row r="4" spans="1:16" x14ac:dyDescent="0.25">
      <c r="A4" t="s">
        <v>18</v>
      </c>
      <c r="B4">
        <v>90</v>
      </c>
      <c r="C4">
        <f t="shared" ref="C4:C29" si="2">B4*20%</f>
        <v>18</v>
      </c>
      <c r="D4">
        <v>92</v>
      </c>
      <c r="E4">
        <f t="shared" ref="E4:E29" si="3">D4*20%</f>
        <v>18.400000000000002</v>
      </c>
      <c r="F4">
        <v>100</v>
      </c>
      <c r="G4">
        <f t="shared" si="0"/>
        <v>10</v>
      </c>
      <c r="H4">
        <f t="shared" ref="H4:H29" si="4">C4+E4+G4</f>
        <v>46.400000000000006</v>
      </c>
      <c r="I4">
        <v>83</v>
      </c>
      <c r="J4">
        <f>I4*50%</f>
        <v>41.5</v>
      </c>
      <c r="K4">
        <f t="shared" si="1"/>
        <v>87.9</v>
      </c>
      <c r="M4" t="s">
        <v>33</v>
      </c>
      <c r="N4">
        <f>AVERAGE(B3:B80)</f>
        <v>82.217948717948715</v>
      </c>
      <c r="O4">
        <f>AVERAGE(D3:D80)</f>
        <v>85.128205128205124</v>
      </c>
      <c r="P4">
        <f>AVERAGE(I3:I80)</f>
        <v>83.166666666666671</v>
      </c>
    </row>
    <row r="5" spans="1:16" x14ac:dyDescent="0.25">
      <c r="A5" t="s">
        <v>32</v>
      </c>
      <c r="B5">
        <v>55</v>
      </c>
      <c r="C5">
        <f t="shared" si="2"/>
        <v>11</v>
      </c>
      <c r="D5">
        <v>80</v>
      </c>
      <c r="E5">
        <f t="shared" si="3"/>
        <v>16</v>
      </c>
      <c r="F5">
        <v>100</v>
      </c>
      <c r="G5">
        <f t="shared" si="0"/>
        <v>10</v>
      </c>
      <c r="H5">
        <f t="shared" si="4"/>
        <v>37</v>
      </c>
      <c r="I5">
        <v>91</v>
      </c>
      <c r="J5">
        <f t="shared" ref="J5:J29" si="5">I5*50%</f>
        <v>45.5</v>
      </c>
      <c r="K5">
        <f t="shared" si="1"/>
        <v>82.5</v>
      </c>
      <c r="M5" t="s">
        <v>34</v>
      </c>
      <c r="N5">
        <f>MAX(B3:B80)</f>
        <v>100</v>
      </c>
      <c r="O5">
        <f>MAX(D3:D80)</f>
        <v>100</v>
      </c>
      <c r="P5">
        <f>MAX(I3:I80)</f>
        <v>100</v>
      </c>
    </row>
    <row r="6" spans="1:16" x14ac:dyDescent="0.25">
      <c r="A6" t="s">
        <v>7</v>
      </c>
      <c r="B6">
        <v>90</v>
      </c>
      <c r="C6">
        <f t="shared" si="2"/>
        <v>18</v>
      </c>
      <c r="D6">
        <v>96</v>
      </c>
      <c r="E6">
        <f t="shared" si="3"/>
        <v>19.200000000000003</v>
      </c>
      <c r="F6">
        <v>100</v>
      </c>
      <c r="G6">
        <f t="shared" si="0"/>
        <v>10</v>
      </c>
      <c r="H6">
        <f t="shared" si="4"/>
        <v>47.2</v>
      </c>
      <c r="I6">
        <v>77</v>
      </c>
      <c r="J6">
        <f t="shared" si="5"/>
        <v>38.5</v>
      </c>
      <c r="K6">
        <f t="shared" si="1"/>
        <v>85.7</v>
      </c>
      <c r="M6" t="s">
        <v>35</v>
      </c>
      <c r="N6">
        <f>MIN(B3:B80)</f>
        <v>15</v>
      </c>
      <c r="O6">
        <f>MIN(D3:D80)</f>
        <v>48</v>
      </c>
      <c r="P6">
        <f>MIN(J3:J80)</f>
        <v>25</v>
      </c>
    </row>
    <row r="7" spans="1:16" x14ac:dyDescent="0.25">
      <c r="A7" t="s">
        <v>19</v>
      </c>
      <c r="B7">
        <v>70</v>
      </c>
      <c r="C7">
        <f t="shared" si="2"/>
        <v>14</v>
      </c>
      <c r="D7">
        <v>96</v>
      </c>
      <c r="E7">
        <f t="shared" si="3"/>
        <v>19.200000000000003</v>
      </c>
      <c r="F7">
        <v>100</v>
      </c>
      <c r="G7">
        <f t="shared" si="0"/>
        <v>10</v>
      </c>
      <c r="H7">
        <f t="shared" si="4"/>
        <v>43.2</v>
      </c>
      <c r="I7">
        <v>84</v>
      </c>
      <c r="J7">
        <f t="shared" si="5"/>
        <v>42</v>
      </c>
      <c r="K7">
        <f t="shared" si="1"/>
        <v>85.2</v>
      </c>
    </row>
    <row r="8" spans="1:16" x14ac:dyDescent="0.25">
      <c r="A8" t="s">
        <v>9</v>
      </c>
      <c r="B8">
        <v>100</v>
      </c>
      <c r="C8">
        <f t="shared" si="2"/>
        <v>20</v>
      </c>
      <c r="D8">
        <v>100</v>
      </c>
      <c r="E8">
        <f t="shared" si="3"/>
        <v>20</v>
      </c>
      <c r="F8">
        <v>100</v>
      </c>
      <c r="G8">
        <f t="shared" si="0"/>
        <v>10</v>
      </c>
      <c r="H8">
        <f t="shared" si="4"/>
        <v>50</v>
      </c>
      <c r="I8">
        <v>83</v>
      </c>
      <c r="J8">
        <f t="shared" si="5"/>
        <v>41.5</v>
      </c>
      <c r="K8">
        <f t="shared" si="1"/>
        <v>91.5</v>
      </c>
    </row>
    <row r="9" spans="1:16" x14ac:dyDescent="0.25">
      <c r="A9" t="s">
        <v>21</v>
      </c>
      <c r="B9">
        <v>100</v>
      </c>
      <c r="C9">
        <f t="shared" si="2"/>
        <v>20</v>
      </c>
      <c r="D9">
        <v>98</v>
      </c>
      <c r="E9">
        <f t="shared" si="3"/>
        <v>19.600000000000001</v>
      </c>
      <c r="F9">
        <v>100</v>
      </c>
      <c r="G9">
        <f t="shared" si="0"/>
        <v>10</v>
      </c>
      <c r="H9">
        <f t="shared" si="4"/>
        <v>49.6</v>
      </c>
      <c r="I9">
        <v>82</v>
      </c>
      <c r="J9">
        <f t="shared" si="5"/>
        <v>41</v>
      </c>
      <c r="K9">
        <f t="shared" si="1"/>
        <v>90.6</v>
      </c>
    </row>
    <row r="10" spans="1:16" x14ac:dyDescent="0.25">
      <c r="A10" t="s">
        <v>8</v>
      </c>
      <c r="B10">
        <v>80</v>
      </c>
      <c r="C10">
        <f t="shared" si="2"/>
        <v>16</v>
      </c>
      <c r="D10">
        <v>64</v>
      </c>
      <c r="E10">
        <f t="shared" si="3"/>
        <v>12.8</v>
      </c>
      <c r="F10">
        <v>100</v>
      </c>
      <c r="G10">
        <f t="shared" si="0"/>
        <v>10</v>
      </c>
      <c r="H10">
        <f t="shared" si="4"/>
        <v>38.799999999999997</v>
      </c>
      <c r="I10">
        <v>68</v>
      </c>
      <c r="J10">
        <f t="shared" si="5"/>
        <v>34</v>
      </c>
      <c r="K10">
        <f t="shared" si="1"/>
        <v>72.8</v>
      </c>
    </row>
    <row r="11" spans="1:16" x14ac:dyDescent="0.25">
      <c r="A11" t="s">
        <v>10</v>
      </c>
      <c r="B11">
        <v>100</v>
      </c>
      <c r="C11">
        <f t="shared" si="2"/>
        <v>20</v>
      </c>
      <c r="D11">
        <v>96</v>
      </c>
      <c r="E11">
        <f t="shared" si="3"/>
        <v>19.200000000000003</v>
      </c>
      <c r="F11">
        <v>100</v>
      </c>
      <c r="G11">
        <f t="shared" si="0"/>
        <v>10</v>
      </c>
      <c r="H11">
        <f t="shared" si="4"/>
        <v>49.2</v>
      </c>
      <c r="I11">
        <v>87</v>
      </c>
      <c r="J11">
        <f t="shared" si="5"/>
        <v>43.5</v>
      </c>
      <c r="K11">
        <f t="shared" si="1"/>
        <v>92.7</v>
      </c>
    </row>
    <row r="12" spans="1:16" x14ac:dyDescent="0.25">
      <c r="A12" t="s">
        <v>6</v>
      </c>
      <c r="B12">
        <v>90</v>
      </c>
      <c r="C12">
        <f t="shared" si="2"/>
        <v>18</v>
      </c>
      <c r="D12">
        <v>96</v>
      </c>
      <c r="E12">
        <f t="shared" si="3"/>
        <v>19.200000000000003</v>
      </c>
      <c r="F12">
        <v>100</v>
      </c>
      <c r="G12">
        <f t="shared" si="0"/>
        <v>10</v>
      </c>
      <c r="H12">
        <f t="shared" si="4"/>
        <v>47.2</v>
      </c>
      <c r="I12">
        <v>70</v>
      </c>
      <c r="J12">
        <f t="shared" si="5"/>
        <v>35</v>
      </c>
      <c r="K12">
        <f t="shared" si="1"/>
        <v>82.2</v>
      </c>
    </row>
    <row r="13" spans="1:16" x14ac:dyDescent="0.25">
      <c r="A13" t="s">
        <v>17</v>
      </c>
      <c r="B13">
        <v>55</v>
      </c>
      <c r="C13">
        <f t="shared" si="2"/>
        <v>11</v>
      </c>
      <c r="D13">
        <v>69</v>
      </c>
      <c r="E13">
        <f t="shared" si="3"/>
        <v>13.8</v>
      </c>
      <c r="F13">
        <v>100</v>
      </c>
      <c r="G13">
        <f t="shared" si="0"/>
        <v>10</v>
      </c>
      <c r="H13">
        <f t="shared" si="4"/>
        <v>34.799999999999997</v>
      </c>
      <c r="I13">
        <v>73</v>
      </c>
      <c r="J13">
        <f t="shared" si="5"/>
        <v>36.5</v>
      </c>
      <c r="K13">
        <f t="shared" si="1"/>
        <v>71.3</v>
      </c>
    </row>
    <row r="14" spans="1:16" x14ac:dyDescent="0.25">
      <c r="A14" t="s">
        <v>22</v>
      </c>
      <c r="B14">
        <v>55</v>
      </c>
      <c r="C14">
        <f t="shared" si="2"/>
        <v>11</v>
      </c>
      <c r="D14">
        <v>98</v>
      </c>
      <c r="E14">
        <f t="shared" si="3"/>
        <v>19.600000000000001</v>
      </c>
      <c r="F14">
        <v>100</v>
      </c>
      <c r="G14">
        <f t="shared" si="0"/>
        <v>10</v>
      </c>
      <c r="H14">
        <f t="shared" si="4"/>
        <v>40.6</v>
      </c>
      <c r="I14">
        <v>79</v>
      </c>
      <c r="J14">
        <f t="shared" si="5"/>
        <v>39.5</v>
      </c>
      <c r="K14">
        <f t="shared" si="1"/>
        <v>80.099999999999994</v>
      </c>
    </row>
    <row r="15" spans="1:16" x14ac:dyDescent="0.25">
      <c r="A15" t="s">
        <v>11</v>
      </c>
      <c r="B15">
        <v>20</v>
      </c>
      <c r="C15">
        <f t="shared" si="2"/>
        <v>4</v>
      </c>
      <c r="D15">
        <v>92</v>
      </c>
      <c r="E15">
        <f t="shared" si="3"/>
        <v>18.400000000000002</v>
      </c>
      <c r="F15">
        <v>100</v>
      </c>
      <c r="G15">
        <f t="shared" si="0"/>
        <v>10</v>
      </c>
      <c r="H15">
        <f t="shared" si="4"/>
        <v>32.400000000000006</v>
      </c>
      <c r="I15">
        <v>80</v>
      </c>
      <c r="J15">
        <f t="shared" si="5"/>
        <v>40</v>
      </c>
      <c r="K15">
        <f t="shared" si="1"/>
        <v>72.400000000000006</v>
      </c>
    </row>
    <row r="16" spans="1:16" x14ac:dyDescent="0.25">
      <c r="A16" t="s">
        <v>23</v>
      </c>
      <c r="B16">
        <v>70</v>
      </c>
      <c r="C16">
        <f t="shared" si="2"/>
        <v>14</v>
      </c>
      <c r="D16">
        <v>98</v>
      </c>
      <c r="E16">
        <f t="shared" si="3"/>
        <v>19.600000000000001</v>
      </c>
      <c r="F16">
        <v>100</v>
      </c>
      <c r="G16">
        <f t="shared" si="0"/>
        <v>10</v>
      </c>
      <c r="H16">
        <f t="shared" si="4"/>
        <v>43.6</v>
      </c>
      <c r="I16">
        <v>78</v>
      </c>
      <c r="J16">
        <f t="shared" si="5"/>
        <v>39</v>
      </c>
      <c r="K16">
        <f t="shared" si="1"/>
        <v>82.6</v>
      </c>
    </row>
    <row r="17" spans="1:11" x14ac:dyDescent="0.25">
      <c r="A17" t="s">
        <v>12</v>
      </c>
      <c r="B17">
        <v>70</v>
      </c>
      <c r="C17">
        <f t="shared" si="2"/>
        <v>14</v>
      </c>
      <c r="D17">
        <v>62</v>
      </c>
      <c r="E17">
        <f t="shared" si="3"/>
        <v>12.4</v>
      </c>
      <c r="F17">
        <v>100</v>
      </c>
      <c r="G17">
        <f t="shared" si="0"/>
        <v>10</v>
      </c>
      <c r="H17">
        <f t="shared" si="4"/>
        <v>36.4</v>
      </c>
      <c r="I17">
        <v>80</v>
      </c>
      <c r="J17">
        <f t="shared" si="5"/>
        <v>40</v>
      </c>
      <c r="K17">
        <f t="shared" si="1"/>
        <v>76.400000000000006</v>
      </c>
    </row>
    <row r="18" spans="1:11" x14ac:dyDescent="0.25">
      <c r="A18" t="s">
        <v>13</v>
      </c>
      <c r="B18">
        <v>70</v>
      </c>
      <c r="C18">
        <f t="shared" si="2"/>
        <v>14</v>
      </c>
      <c r="D18">
        <v>88</v>
      </c>
      <c r="E18">
        <f t="shared" si="3"/>
        <v>17.600000000000001</v>
      </c>
      <c r="F18">
        <v>100</v>
      </c>
      <c r="G18">
        <f t="shared" si="0"/>
        <v>10</v>
      </c>
      <c r="H18">
        <f t="shared" si="4"/>
        <v>41.6</v>
      </c>
      <c r="I18">
        <v>62</v>
      </c>
      <c r="J18">
        <f t="shared" si="5"/>
        <v>31</v>
      </c>
      <c r="K18">
        <f t="shared" si="1"/>
        <v>72.599999999999994</v>
      </c>
    </row>
    <row r="19" spans="1:11" x14ac:dyDescent="0.25">
      <c r="A19" t="s">
        <v>27</v>
      </c>
      <c r="B19">
        <v>70</v>
      </c>
      <c r="C19">
        <f t="shared" si="2"/>
        <v>14</v>
      </c>
      <c r="D19">
        <v>92</v>
      </c>
      <c r="E19">
        <f t="shared" si="3"/>
        <v>18.400000000000002</v>
      </c>
      <c r="F19">
        <v>100</v>
      </c>
      <c r="G19">
        <f t="shared" si="0"/>
        <v>10</v>
      </c>
      <c r="H19">
        <f t="shared" si="4"/>
        <v>42.400000000000006</v>
      </c>
      <c r="I19">
        <v>76</v>
      </c>
      <c r="J19">
        <f t="shared" si="5"/>
        <v>38</v>
      </c>
      <c r="K19">
        <f t="shared" si="1"/>
        <v>80.400000000000006</v>
      </c>
    </row>
    <row r="20" spans="1:11" x14ac:dyDescent="0.25">
      <c r="A20" t="s">
        <v>24</v>
      </c>
      <c r="B20">
        <v>100</v>
      </c>
      <c r="C20">
        <f t="shared" si="2"/>
        <v>20</v>
      </c>
      <c r="D20">
        <v>86</v>
      </c>
      <c r="E20">
        <f t="shared" si="3"/>
        <v>17.2</v>
      </c>
      <c r="F20">
        <v>100</v>
      </c>
      <c r="G20">
        <f t="shared" si="0"/>
        <v>10</v>
      </c>
      <c r="H20">
        <f t="shared" si="4"/>
        <v>47.2</v>
      </c>
      <c r="I20">
        <v>80</v>
      </c>
      <c r="J20">
        <f t="shared" si="5"/>
        <v>40</v>
      </c>
      <c r="K20">
        <f t="shared" si="1"/>
        <v>87.2</v>
      </c>
    </row>
    <row r="21" spans="1:11" x14ac:dyDescent="0.25">
      <c r="A21" t="s">
        <v>26</v>
      </c>
      <c r="B21">
        <v>100</v>
      </c>
      <c r="C21">
        <f t="shared" si="2"/>
        <v>20</v>
      </c>
      <c r="D21">
        <v>86</v>
      </c>
      <c r="E21">
        <f t="shared" si="3"/>
        <v>17.2</v>
      </c>
      <c r="F21">
        <v>100</v>
      </c>
      <c r="G21">
        <f t="shared" si="0"/>
        <v>10</v>
      </c>
      <c r="H21">
        <f t="shared" si="4"/>
        <v>47.2</v>
      </c>
      <c r="I21">
        <v>90</v>
      </c>
      <c r="J21">
        <f t="shared" si="5"/>
        <v>45</v>
      </c>
      <c r="K21">
        <f t="shared" si="1"/>
        <v>92.2</v>
      </c>
    </row>
    <row r="22" spans="1:11" x14ac:dyDescent="0.25">
      <c r="A22" t="s">
        <v>28</v>
      </c>
      <c r="B22">
        <v>55</v>
      </c>
      <c r="C22">
        <f t="shared" si="2"/>
        <v>11</v>
      </c>
      <c r="D22">
        <v>87</v>
      </c>
      <c r="E22">
        <f t="shared" si="3"/>
        <v>17.400000000000002</v>
      </c>
      <c r="F22">
        <v>100</v>
      </c>
      <c r="G22">
        <f t="shared" si="0"/>
        <v>10</v>
      </c>
      <c r="H22">
        <f t="shared" si="4"/>
        <v>38.400000000000006</v>
      </c>
      <c r="I22">
        <v>80</v>
      </c>
      <c r="J22">
        <f t="shared" si="5"/>
        <v>40</v>
      </c>
      <c r="K22">
        <f t="shared" si="1"/>
        <v>78.400000000000006</v>
      </c>
    </row>
    <row r="23" spans="1:11" x14ac:dyDescent="0.25">
      <c r="A23" t="s">
        <v>25</v>
      </c>
      <c r="B23">
        <v>60</v>
      </c>
      <c r="C23">
        <f t="shared" si="2"/>
        <v>12</v>
      </c>
      <c r="D23">
        <v>75</v>
      </c>
      <c r="E23">
        <f t="shared" si="3"/>
        <v>15</v>
      </c>
      <c r="F23">
        <v>100</v>
      </c>
      <c r="G23">
        <f t="shared" si="0"/>
        <v>10</v>
      </c>
      <c r="H23">
        <f t="shared" si="4"/>
        <v>37</v>
      </c>
      <c r="I23">
        <v>61</v>
      </c>
      <c r="J23">
        <f t="shared" si="5"/>
        <v>30.5</v>
      </c>
      <c r="K23">
        <f t="shared" si="1"/>
        <v>67.5</v>
      </c>
    </row>
    <row r="24" spans="1:11" x14ac:dyDescent="0.25">
      <c r="A24" t="s">
        <v>31</v>
      </c>
      <c r="B24">
        <v>100</v>
      </c>
      <c r="C24">
        <f t="shared" si="2"/>
        <v>20</v>
      </c>
      <c r="D24">
        <v>98</v>
      </c>
      <c r="E24">
        <f t="shared" si="3"/>
        <v>19.600000000000001</v>
      </c>
      <c r="F24">
        <v>100</v>
      </c>
      <c r="G24">
        <f t="shared" si="0"/>
        <v>10</v>
      </c>
      <c r="H24">
        <f t="shared" si="4"/>
        <v>49.6</v>
      </c>
      <c r="I24">
        <v>82</v>
      </c>
      <c r="J24">
        <f t="shared" si="5"/>
        <v>41</v>
      </c>
      <c r="K24">
        <f t="shared" si="1"/>
        <v>90.6</v>
      </c>
    </row>
    <row r="25" spans="1:11" x14ac:dyDescent="0.25">
      <c r="A25" t="s">
        <v>14</v>
      </c>
      <c r="B25">
        <v>75</v>
      </c>
      <c r="C25">
        <f t="shared" si="2"/>
        <v>15</v>
      </c>
      <c r="D25">
        <v>67</v>
      </c>
      <c r="E25">
        <f t="shared" si="3"/>
        <v>13.4</v>
      </c>
      <c r="F25">
        <v>100</v>
      </c>
      <c r="G25">
        <f t="shared" si="0"/>
        <v>10</v>
      </c>
      <c r="H25">
        <f t="shared" si="4"/>
        <v>38.4</v>
      </c>
      <c r="I25">
        <v>73</v>
      </c>
      <c r="J25">
        <f t="shared" si="5"/>
        <v>36.5</v>
      </c>
      <c r="K25">
        <f t="shared" si="1"/>
        <v>74.900000000000006</v>
      </c>
    </row>
    <row r="26" spans="1:11" x14ac:dyDescent="0.25">
      <c r="A26" t="s">
        <v>16</v>
      </c>
      <c r="B26">
        <v>100</v>
      </c>
      <c r="C26">
        <f t="shared" si="2"/>
        <v>20</v>
      </c>
      <c r="D26">
        <v>100</v>
      </c>
      <c r="E26">
        <f t="shared" si="3"/>
        <v>20</v>
      </c>
      <c r="F26">
        <v>100</v>
      </c>
      <c r="G26">
        <f t="shared" si="0"/>
        <v>10</v>
      </c>
      <c r="H26">
        <f t="shared" si="4"/>
        <v>50</v>
      </c>
      <c r="I26">
        <v>82</v>
      </c>
      <c r="J26">
        <f t="shared" si="5"/>
        <v>41</v>
      </c>
      <c r="K26">
        <f t="shared" si="1"/>
        <v>91</v>
      </c>
    </row>
    <row r="27" spans="1:11" x14ac:dyDescent="0.25">
      <c r="A27" t="s">
        <v>29</v>
      </c>
      <c r="B27">
        <v>85</v>
      </c>
      <c r="C27">
        <f t="shared" si="2"/>
        <v>17</v>
      </c>
      <c r="D27">
        <v>92</v>
      </c>
      <c r="E27">
        <f t="shared" si="3"/>
        <v>18.400000000000002</v>
      </c>
      <c r="F27">
        <v>100</v>
      </c>
      <c r="G27">
        <f t="shared" si="0"/>
        <v>10</v>
      </c>
      <c r="H27">
        <f t="shared" si="4"/>
        <v>45.400000000000006</v>
      </c>
      <c r="I27">
        <v>72</v>
      </c>
      <c r="J27">
        <f t="shared" si="5"/>
        <v>36</v>
      </c>
      <c r="K27">
        <f t="shared" si="1"/>
        <v>81.400000000000006</v>
      </c>
    </row>
    <row r="28" spans="1:11" x14ac:dyDescent="0.25">
      <c r="A28" t="s">
        <v>15</v>
      </c>
      <c r="B28">
        <v>85</v>
      </c>
      <c r="C28">
        <f t="shared" si="2"/>
        <v>17</v>
      </c>
      <c r="D28">
        <v>88</v>
      </c>
      <c r="E28">
        <f t="shared" si="3"/>
        <v>17.600000000000001</v>
      </c>
      <c r="F28">
        <v>100</v>
      </c>
      <c r="G28">
        <f t="shared" si="0"/>
        <v>10</v>
      </c>
      <c r="H28">
        <f t="shared" si="4"/>
        <v>44.6</v>
      </c>
      <c r="I28">
        <v>82</v>
      </c>
      <c r="J28">
        <f t="shared" si="5"/>
        <v>41</v>
      </c>
      <c r="K28">
        <f t="shared" si="1"/>
        <v>85.6</v>
      </c>
    </row>
    <row r="29" spans="1:11" x14ac:dyDescent="0.25">
      <c r="A29" t="s">
        <v>30</v>
      </c>
      <c r="B29">
        <v>55</v>
      </c>
      <c r="C29">
        <f t="shared" si="2"/>
        <v>11</v>
      </c>
      <c r="D29">
        <v>73</v>
      </c>
      <c r="E29">
        <f t="shared" si="3"/>
        <v>14.600000000000001</v>
      </c>
      <c r="F29">
        <v>100</v>
      </c>
      <c r="G29">
        <f t="shared" si="0"/>
        <v>10</v>
      </c>
      <c r="H29">
        <f t="shared" si="4"/>
        <v>35.6</v>
      </c>
      <c r="I29">
        <v>81</v>
      </c>
      <c r="J29">
        <f t="shared" si="5"/>
        <v>40.5</v>
      </c>
      <c r="K29">
        <f t="shared" si="1"/>
        <v>76.099999999999994</v>
      </c>
    </row>
    <row r="30" spans="1:11" x14ac:dyDescent="0.25">
      <c r="A30" s="55" t="s">
        <v>145</v>
      </c>
      <c r="B30" s="55">
        <v>89</v>
      </c>
      <c r="C30" s="55">
        <f>B30*20%</f>
        <v>17.8</v>
      </c>
      <c r="D30" s="55">
        <v>84</v>
      </c>
      <c r="E30" s="55">
        <f>D30*20%</f>
        <v>16.8</v>
      </c>
      <c r="F30">
        <v>100</v>
      </c>
      <c r="G30" s="55">
        <f>F30*10%</f>
        <v>10</v>
      </c>
      <c r="H30" s="55">
        <f>C30+E30+G30</f>
        <v>44.6</v>
      </c>
      <c r="I30" s="55">
        <v>74</v>
      </c>
      <c r="J30" s="55">
        <f>I30*50%</f>
        <v>37</v>
      </c>
      <c r="K30" s="55">
        <f>C30+G30+E30+J30</f>
        <v>81.599999999999994</v>
      </c>
    </row>
    <row r="31" spans="1:11" x14ac:dyDescent="0.25">
      <c r="A31" s="22" t="s">
        <v>88</v>
      </c>
      <c r="B31">
        <v>85</v>
      </c>
      <c r="C31">
        <f>B31*20%</f>
        <v>17</v>
      </c>
      <c r="D31">
        <v>64</v>
      </c>
      <c r="E31">
        <f>D31*20%</f>
        <v>12.8</v>
      </c>
      <c r="F31">
        <v>100</v>
      </c>
      <c r="G31">
        <f>F31*10%</f>
        <v>10</v>
      </c>
      <c r="H31">
        <f>C31+E31+G31</f>
        <v>39.799999999999997</v>
      </c>
      <c r="I31">
        <v>71</v>
      </c>
      <c r="J31">
        <f>I31*50%</f>
        <v>35.5</v>
      </c>
      <c r="K31">
        <f>C31+G31+E31+J31</f>
        <v>75.3</v>
      </c>
    </row>
    <row r="32" spans="1:11" x14ac:dyDescent="0.25">
      <c r="A32" s="22" t="s">
        <v>89</v>
      </c>
      <c r="B32">
        <v>74</v>
      </c>
      <c r="C32">
        <f>B32*20%</f>
        <v>14.8</v>
      </c>
      <c r="D32">
        <v>68</v>
      </c>
      <c r="E32">
        <f>D32*20%</f>
        <v>13.600000000000001</v>
      </c>
      <c r="F32">
        <v>100</v>
      </c>
      <c r="G32">
        <f>F32*10%</f>
        <v>10</v>
      </c>
      <c r="H32">
        <f>C32+E32+G32</f>
        <v>38.400000000000006</v>
      </c>
      <c r="I32">
        <v>85</v>
      </c>
      <c r="J32">
        <f>I32*50%</f>
        <v>42.5</v>
      </c>
      <c r="K32">
        <f>C32+G32+E32+J32</f>
        <v>80.900000000000006</v>
      </c>
    </row>
    <row r="33" spans="1:11" x14ac:dyDescent="0.25">
      <c r="A33" s="22" t="s">
        <v>90</v>
      </c>
      <c r="B33">
        <v>98</v>
      </c>
      <c r="C33">
        <f>B33*20%</f>
        <v>19.600000000000001</v>
      </c>
      <c r="D33">
        <v>84</v>
      </c>
      <c r="E33">
        <f>D33*20%</f>
        <v>16.8</v>
      </c>
      <c r="F33">
        <v>100</v>
      </c>
      <c r="G33">
        <f>F33*10%</f>
        <v>10</v>
      </c>
      <c r="H33">
        <f>C33+E33+G33</f>
        <v>46.400000000000006</v>
      </c>
      <c r="I33">
        <v>94</v>
      </c>
      <c r="J33">
        <f>I33*50%</f>
        <v>47</v>
      </c>
      <c r="K33">
        <f>C33+G33+E33+J33</f>
        <v>93.4</v>
      </c>
    </row>
    <row r="34" spans="1:11" x14ac:dyDescent="0.25">
      <c r="A34" s="22" t="s">
        <v>91</v>
      </c>
      <c r="B34">
        <v>93</v>
      </c>
      <c r="C34">
        <f t="shared" ref="C34:C80" si="6">B34*20%</f>
        <v>18.600000000000001</v>
      </c>
      <c r="D34">
        <v>88</v>
      </c>
      <c r="E34">
        <f t="shared" ref="E34:E80" si="7">D34*20%</f>
        <v>17.600000000000001</v>
      </c>
      <c r="F34">
        <v>100</v>
      </c>
      <c r="G34">
        <f t="shared" ref="G34:G80" si="8">F34*10%</f>
        <v>10</v>
      </c>
      <c r="H34">
        <f t="shared" ref="H34:H80" si="9">C34+E34+G34</f>
        <v>46.2</v>
      </c>
      <c r="I34">
        <v>91</v>
      </c>
      <c r="J34">
        <f t="shared" ref="J34:J80" si="10">I34*50%</f>
        <v>45.5</v>
      </c>
      <c r="K34">
        <f t="shared" ref="K34:K80" si="11">C34+G34+E34+J34</f>
        <v>91.7</v>
      </c>
    </row>
    <row r="35" spans="1:11" x14ac:dyDescent="0.25">
      <c r="A35" s="22" t="s">
        <v>92</v>
      </c>
      <c r="B35">
        <v>95</v>
      </c>
      <c r="C35">
        <f t="shared" si="6"/>
        <v>19</v>
      </c>
      <c r="D35">
        <v>58</v>
      </c>
      <c r="E35">
        <f t="shared" si="7"/>
        <v>11.600000000000001</v>
      </c>
      <c r="F35">
        <v>100</v>
      </c>
      <c r="G35">
        <f t="shared" si="8"/>
        <v>10</v>
      </c>
      <c r="H35">
        <f t="shared" si="9"/>
        <v>40.6</v>
      </c>
      <c r="I35">
        <v>82</v>
      </c>
      <c r="J35">
        <f t="shared" si="10"/>
        <v>41</v>
      </c>
      <c r="K35">
        <f t="shared" si="11"/>
        <v>81.599999999999994</v>
      </c>
    </row>
    <row r="36" spans="1:11" x14ac:dyDescent="0.25">
      <c r="A36" s="22" t="s">
        <v>93</v>
      </c>
      <c r="B36">
        <v>98</v>
      </c>
      <c r="C36">
        <f t="shared" si="6"/>
        <v>19.600000000000001</v>
      </c>
      <c r="D36">
        <v>88</v>
      </c>
      <c r="E36">
        <f t="shared" si="7"/>
        <v>17.600000000000001</v>
      </c>
      <c r="F36">
        <v>100</v>
      </c>
      <c r="G36">
        <f t="shared" si="8"/>
        <v>10</v>
      </c>
      <c r="H36">
        <f t="shared" si="9"/>
        <v>47.2</v>
      </c>
      <c r="I36">
        <v>100</v>
      </c>
      <c r="J36">
        <f t="shared" si="10"/>
        <v>50</v>
      </c>
      <c r="K36">
        <f t="shared" si="11"/>
        <v>97.2</v>
      </c>
    </row>
    <row r="37" spans="1:11" x14ac:dyDescent="0.25">
      <c r="A37" s="22" t="s">
        <v>94</v>
      </c>
      <c r="B37">
        <v>96</v>
      </c>
      <c r="C37">
        <f t="shared" si="6"/>
        <v>19.200000000000003</v>
      </c>
      <c r="D37">
        <v>80</v>
      </c>
      <c r="E37">
        <f t="shared" si="7"/>
        <v>16</v>
      </c>
      <c r="F37">
        <v>100</v>
      </c>
      <c r="G37">
        <f t="shared" si="8"/>
        <v>10</v>
      </c>
      <c r="H37">
        <f t="shared" si="9"/>
        <v>45.2</v>
      </c>
      <c r="I37">
        <v>81</v>
      </c>
      <c r="J37">
        <f t="shared" si="10"/>
        <v>40.5</v>
      </c>
      <c r="K37">
        <f t="shared" si="11"/>
        <v>85.7</v>
      </c>
    </row>
    <row r="38" spans="1:11" x14ac:dyDescent="0.25">
      <c r="A38" s="22" t="s">
        <v>95</v>
      </c>
      <c r="B38">
        <v>89</v>
      </c>
      <c r="C38">
        <f t="shared" si="6"/>
        <v>17.8</v>
      </c>
      <c r="D38">
        <v>76</v>
      </c>
      <c r="E38">
        <f t="shared" si="7"/>
        <v>15.200000000000001</v>
      </c>
      <c r="F38">
        <v>100</v>
      </c>
      <c r="G38">
        <f t="shared" si="8"/>
        <v>10</v>
      </c>
      <c r="H38">
        <f t="shared" si="9"/>
        <v>43</v>
      </c>
      <c r="I38">
        <v>94</v>
      </c>
      <c r="J38">
        <f t="shared" si="10"/>
        <v>47</v>
      </c>
      <c r="K38">
        <f t="shared" si="11"/>
        <v>90</v>
      </c>
    </row>
    <row r="39" spans="1:11" x14ac:dyDescent="0.25">
      <c r="A39" s="22" t="s">
        <v>96</v>
      </c>
      <c r="B39">
        <v>100</v>
      </c>
      <c r="C39">
        <f t="shared" si="6"/>
        <v>20</v>
      </c>
      <c r="D39">
        <v>62</v>
      </c>
      <c r="E39">
        <f t="shared" si="7"/>
        <v>12.4</v>
      </c>
      <c r="F39">
        <v>100</v>
      </c>
      <c r="G39">
        <f t="shared" si="8"/>
        <v>10</v>
      </c>
      <c r="H39">
        <f t="shared" si="9"/>
        <v>42.4</v>
      </c>
      <c r="I39">
        <v>75</v>
      </c>
      <c r="J39">
        <f t="shared" si="10"/>
        <v>37.5</v>
      </c>
      <c r="K39">
        <f t="shared" si="11"/>
        <v>79.900000000000006</v>
      </c>
    </row>
    <row r="40" spans="1:11" x14ac:dyDescent="0.25">
      <c r="A40" s="22" t="s">
        <v>97</v>
      </c>
      <c r="B40">
        <v>100</v>
      </c>
      <c r="C40">
        <f t="shared" si="6"/>
        <v>20</v>
      </c>
      <c r="D40">
        <v>88</v>
      </c>
      <c r="E40">
        <f t="shared" si="7"/>
        <v>17.600000000000001</v>
      </c>
      <c r="F40">
        <v>100</v>
      </c>
      <c r="G40">
        <f t="shared" si="8"/>
        <v>10</v>
      </c>
      <c r="H40">
        <f t="shared" si="9"/>
        <v>47.6</v>
      </c>
      <c r="I40">
        <v>90</v>
      </c>
      <c r="J40">
        <f t="shared" si="10"/>
        <v>45</v>
      </c>
      <c r="K40">
        <f t="shared" si="11"/>
        <v>92.6</v>
      </c>
    </row>
    <row r="41" spans="1:11" x14ac:dyDescent="0.25">
      <c r="A41" s="22" t="s">
        <v>98</v>
      </c>
      <c r="B41">
        <v>93</v>
      </c>
      <c r="C41">
        <f t="shared" si="6"/>
        <v>18.600000000000001</v>
      </c>
      <c r="D41">
        <v>74</v>
      </c>
      <c r="E41">
        <f t="shared" si="7"/>
        <v>14.8</v>
      </c>
      <c r="F41">
        <v>100</v>
      </c>
      <c r="G41">
        <f t="shared" si="8"/>
        <v>10</v>
      </c>
      <c r="H41">
        <f t="shared" si="9"/>
        <v>43.400000000000006</v>
      </c>
      <c r="I41">
        <v>92</v>
      </c>
      <c r="J41">
        <f t="shared" si="10"/>
        <v>46</v>
      </c>
      <c r="K41">
        <f t="shared" si="11"/>
        <v>89.4</v>
      </c>
    </row>
    <row r="42" spans="1:11" x14ac:dyDescent="0.25">
      <c r="A42" s="22" t="s">
        <v>99</v>
      </c>
      <c r="B42">
        <v>100</v>
      </c>
      <c r="C42">
        <f t="shared" si="6"/>
        <v>20</v>
      </c>
      <c r="D42">
        <v>84</v>
      </c>
      <c r="E42">
        <f t="shared" si="7"/>
        <v>16.8</v>
      </c>
      <c r="F42">
        <v>100</v>
      </c>
      <c r="G42">
        <f t="shared" si="8"/>
        <v>10</v>
      </c>
      <c r="H42">
        <f t="shared" si="9"/>
        <v>46.8</v>
      </c>
      <c r="I42">
        <v>92</v>
      </c>
      <c r="J42">
        <f t="shared" si="10"/>
        <v>46</v>
      </c>
      <c r="K42">
        <f t="shared" si="11"/>
        <v>92.8</v>
      </c>
    </row>
    <row r="43" spans="1:11" x14ac:dyDescent="0.25">
      <c r="A43" s="22" t="s">
        <v>100</v>
      </c>
      <c r="B43">
        <v>98</v>
      </c>
      <c r="C43">
        <f t="shared" si="6"/>
        <v>19.600000000000001</v>
      </c>
      <c r="D43">
        <v>80</v>
      </c>
      <c r="E43">
        <f t="shared" si="7"/>
        <v>16</v>
      </c>
      <c r="F43">
        <v>100</v>
      </c>
      <c r="G43">
        <f t="shared" si="8"/>
        <v>10</v>
      </c>
      <c r="H43">
        <f t="shared" si="9"/>
        <v>45.6</v>
      </c>
      <c r="I43">
        <v>82</v>
      </c>
      <c r="J43">
        <f t="shared" si="10"/>
        <v>41</v>
      </c>
      <c r="K43">
        <f t="shared" si="11"/>
        <v>86.6</v>
      </c>
    </row>
    <row r="44" spans="1:11" x14ac:dyDescent="0.25">
      <c r="A44" s="22" t="s">
        <v>101</v>
      </c>
      <c r="B44">
        <v>100</v>
      </c>
      <c r="C44">
        <f t="shared" si="6"/>
        <v>20</v>
      </c>
      <c r="D44">
        <v>88</v>
      </c>
      <c r="E44">
        <f t="shared" si="7"/>
        <v>17.600000000000001</v>
      </c>
      <c r="F44">
        <v>100</v>
      </c>
      <c r="G44">
        <f t="shared" si="8"/>
        <v>10</v>
      </c>
      <c r="H44">
        <f t="shared" si="9"/>
        <v>47.6</v>
      </c>
      <c r="I44">
        <v>99</v>
      </c>
      <c r="J44">
        <f t="shared" si="10"/>
        <v>49.5</v>
      </c>
      <c r="K44">
        <f t="shared" si="11"/>
        <v>97.1</v>
      </c>
    </row>
    <row r="45" spans="1:11" x14ac:dyDescent="0.25">
      <c r="A45" s="22" t="s">
        <v>102</v>
      </c>
      <c r="B45">
        <v>95</v>
      </c>
      <c r="C45">
        <f t="shared" si="6"/>
        <v>19</v>
      </c>
      <c r="D45">
        <v>80</v>
      </c>
      <c r="E45">
        <f t="shared" si="7"/>
        <v>16</v>
      </c>
      <c r="F45">
        <v>100</v>
      </c>
      <c r="G45">
        <f t="shared" si="8"/>
        <v>10</v>
      </c>
      <c r="H45">
        <f t="shared" si="9"/>
        <v>45</v>
      </c>
      <c r="I45">
        <v>83</v>
      </c>
      <c r="J45">
        <f t="shared" si="10"/>
        <v>41.5</v>
      </c>
      <c r="K45">
        <f t="shared" si="11"/>
        <v>86.5</v>
      </c>
    </row>
    <row r="46" spans="1:11" x14ac:dyDescent="0.25">
      <c r="A46" s="22" t="s">
        <v>103</v>
      </c>
      <c r="B46">
        <v>90</v>
      </c>
      <c r="C46">
        <f t="shared" si="6"/>
        <v>18</v>
      </c>
      <c r="D46">
        <v>84</v>
      </c>
      <c r="E46">
        <f t="shared" si="7"/>
        <v>16.8</v>
      </c>
      <c r="F46">
        <v>100</v>
      </c>
      <c r="G46">
        <f t="shared" si="8"/>
        <v>10</v>
      </c>
      <c r="H46">
        <f t="shared" si="9"/>
        <v>44.8</v>
      </c>
      <c r="I46">
        <v>89</v>
      </c>
      <c r="J46">
        <f t="shared" si="10"/>
        <v>44.5</v>
      </c>
      <c r="K46">
        <f t="shared" si="11"/>
        <v>89.3</v>
      </c>
    </row>
    <row r="47" spans="1:11" x14ac:dyDescent="0.25">
      <c r="A47" s="22" t="s">
        <v>104</v>
      </c>
      <c r="B47">
        <v>74</v>
      </c>
      <c r="C47">
        <f t="shared" si="6"/>
        <v>14.8</v>
      </c>
      <c r="D47">
        <v>64</v>
      </c>
      <c r="E47">
        <f t="shared" si="7"/>
        <v>12.8</v>
      </c>
      <c r="F47">
        <v>100</v>
      </c>
      <c r="G47">
        <f t="shared" si="8"/>
        <v>10</v>
      </c>
      <c r="H47">
        <f t="shared" si="9"/>
        <v>37.6</v>
      </c>
      <c r="I47">
        <v>50</v>
      </c>
      <c r="J47">
        <f t="shared" si="10"/>
        <v>25</v>
      </c>
      <c r="K47">
        <f t="shared" si="11"/>
        <v>62.6</v>
      </c>
    </row>
    <row r="48" spans="1:11" x14ac:dyDescent="0.25">
      <c r="A48" s="22" t="s">
        <v>105</v>
      </c>
      <c r="B48">
        <v>97</v>
      </c>
      <c r="C48">
        <f t="shared" si="6"/>
        <v>19.400000000000002</v>
      </c>
      <c r="D48">
        <v>70</v>
      </c>
      <c r="E48">
        <f t="shared" si="7"/>
        <v>14</v>
      </c>
      <c r="F48">
        <v>100</v>
      </c>
      <c r="G48">
        <f t="shared" si="8"/>
        <v>10</v>
      </c>
      <c r="H48">
        <f t="shared" si="9"/>
        <v>43.400000000000006</v>
      </c>
      <c r="I48">
        <v>91</v>
      </c>
      <c r="J48">
        <f t="shared" si="10"/>
        <v>45.5</v>
      </c>
      <c r="K48">
        <f t="shared" si="11"/>
        <v>88.9</v>
      </c>
    </row>
    <row r="49" spans="1:11" x14ac:dyDescent="0.25">
      <c r="A49" s="22" t="s">
        <v>106</v>
      </c>
      <c r="B49">
        <v>100</v>
      </c>
      <c r="C49">
        <f t="shared" si="6"/>
        <v>20</v>
      </c>
      <c r="D49">
        <v>76</v>
      </c>
      <c r="E49">
        <f t="shared" si="7"/>
        <v>15.200000000000001</v>
      </c>
      <c r="F49">
        <v>100</v>
      </c>
      <c r="G49">
        <f t="shared" si="8"/>
        <v>10</v>
      </c>
      <c r="H49">
        <f t="shared" si="9"/>
        <v>45.2</v>
      </c>
      <c r="I49">
        <v>99</v>
      </c>
      <c r="J49">
        <f t="shared" si="10"/>
        <v>49.5</v>
      </c>
      <c r="K49">
        <f t="shared" si="11"/>
        <v>94.7</v>
      </c>
    </row>
    <row r="50" spans="1:11" x14ac:dyDescent="0.25">
      <c r="A50" s="22" t="s">
        <v>107</v>
      </c>
      <c r="B50">
        <v>97</v>
      </c>
      <c r="C50">
        <f t="shared" si="6"/>
        <v>19.400000000000002</v>
      </c>
      <c r="D50">
        <v>84</v>
      </c>
      <c r="E50">
        <f t="shared" si="7"/>
        <v>16.8</v>
      </c>
      <c r="F50">
        <v>100</v>
      </c>
      <c r="G50">
        <f t="shared" si="8"/>
        <v>10</v>
      </c>
      <c r="H50">
        <f t="shared" si="9"/>
        <v>46.2</v>
      </c>
      <c r="I50">
        <v>92</v>
      </c>
      <c r="J50">
        <f t="shared" si="10"/>
        <v>46</v>
      </c>
      <c r="K50">
        <f t="shared" si="11"/>
        <v>92.2</v>
      </c>
    </row>
    <row r="51" spans="1:11" x14ac:dyDescent="0.25">
      <c r="A51" s="22" t="s">
        <v>108</v>
      </c>
      <c r="B51">
        <v>100</v>
      </c>
      <c r="C51">
        <f t="shared" si="6"/>
        <v>20</v>
      </c>
      <c r="D51">
        <v>88</v>
      </c>
      <c r="E51">
        <f t="shared" si="7"/>
        <v>17.600000000000001</v>
      </c>
      <c r="F51">
        <v>100</v>
      </c>
      <c r="G51">
        <f t="shared" si="8"/>
        <v>10</v>
      </c>
      <c r="H51">
        <f t="shared" si="9"/>
        <v>47.6</v>
      </c>
      <c r="I51">
        <v>100</v>
      </c>
      <c r="J51">
        <f t="shared" si="10"/>
        <v>50</v>
      </c>
      <c r="K51">
        <f t="shared" si="11"/>
        <v>97.6</v>
      </c>
    </row>
    <row r="52" spans="1:11" x14ac:dyDescent="0.25">
      <c r="A52" s="22" t="s">
        <v>109</v>
      </c>
      <c r="B52">
        <v>83</v>
      </c>
      <c r="C52">
        <f t="shared" si="6"/>
        <v>16.600000000000001</v>
      </c>
      <c r="D52">
        <v>48</v>
      </c>
      <c r="E52">
        <f t="shared" si="7"/>
        <v>9.6000000000000014</v>
      </c>
      <c r="F52">
        <v>100</v>
      </c>
      <c r="G52">
        <f t="shared" si="8"/>
        <v>10</v>
      </c>
      <c r="H52">
        <f t="shared" si="9"/>
        <v>36.200000000000003</v>
      </c>
      <c r="I52">
        <v>72</v>
      </c>
      <c r="J52">
        <f t="shared" si="10"/>
        <v>36</v>
      </c>
      <c r="K52">
        <f t="shared" si="11"/>
        <v>72.2</v>
      </c>
    </row>
    <row r="53" spans="1:11" x14ac:dyDescent="0.25">
      <c r="A53" s="22" t="s">
        <v>110</v>
      </c>
      <c r="B53">
        <v>92</v>
      </c>
      <c r="C53">
        <f t="shared" si="6"/>
        <v>18.400000000000002</v>
      </c>
      <c r="D53">
        <v>82</v>
      </c>
      <c r="E53">
        <f t="shared" si="7"/>
        <v>16.400000000000002</v>
      </c>
      <c r="F53">
        <v>100</v>
      </c>
      <c r="G53">
        <f t="shared" si="8"/>
        <v>10</v>
      </c>
      <c r="H53">
        <f t="shared" si="9"/>
        <v>44.800000000000004</v>
      </c>
      <c r="I53">
        <v>96</v>
      </c>
      <c r="J53">
        <f t="shared" si="10"/>
        <v>48</v>
      </c>
      <c r="K53">
        <f t="shared" si="11"/>
        <v>92.800000000000011</v>
      </c>
    </row>
    <row r="54" spans="1:11" x14ac:dyDescent="0.25">
      <c r="A54" s="22" t="s">
        <v>111</v>
      </c>
      <c r="B54">
        <v>89</v>
      </c>
      <c r="C54">
        <f t="shared" si="6"/>
        <v>17.8</v>
      </c>
      <c r="D54">
        <v>82</v>
      </c>
      <c r="E54">
        <f t="shared" si="7"/>
        <v>16.400000000000002</v>
      </c>
      <c r="F54">
        <v>100</v>
      </c>
      <c r="G54">
        <f t="shared" si="8"/>
        <v>10</v>
      </c>
      <c r="H54">
        <f t="shared" si="9"/>
        <v>44.2</v>
      </c>
      <c r="I54">
        <v>90</v>
      </c>
      <c r="J54">
        <f t="shared" si="10"/>
        <v>45</v>
      </c>
      <c r="K54">
        <f t="shared" si="11"/>
        <v>89.2</v>
      </c>
    </row>
    <row r="55" spans="1:11" s="57" customFormat="1" x14ac:dyDescent="0.25">
      <c r="A55" s="56" t="s">
        <v>112</v>
      </c>
      <c r="B55" s="57">
        <v>15</v>
      </c>
      <c r="C55" s="57">
        <f t="shared" si="6"/>
        <v>3</v>
      </c>
      <c r="D55" s="57">
        <v>86</v>
      </c>
      <c r="E55" s="57">
        <f t="shared" si="7"/>
        <v>17.2</v>
      </c>
      <c r="F55" s="57">
        <v>100</v>
      </c>
      <c r="G55" s="57">
        <f t="shared" si="8"/>
        <v>10</v>
      </c>
      <c r="H55" s="57">
        <f t="shared" si="9"/>
        <v>30.2</v>
      </c>
      <c r="I55" s="57">
        <v>71</v>
      </c>
      <c r="J55" s="57">
        <f t="shared" si="10"/>
        <v>35.5</v>
      </c>
      <c r="K55" s="57">
        <f t="shared" si="11"/>
        <v>65.7</v>
      </c>
    </row>
    <row r="56" spans="1:11" x14ac:dyDescent="0.25">
      <c r="A56" s="22" t="s">
        <v>113</v>
      </c>
      <c r="B56">
        <v>100</v>
      </c>
      <c r="C56" s="57">
        <f t="shared" si="6"/>
        <v>20</v>
      </c>
      <c r="D56">
        <v>90</v>
      </c>
      <c r="E56">
        <f t="shared" si="7"/>
        <v>18</v>
      </c>
      <c r="F56">
        <v>100</v>
      </c>
      <c r="G56">
        <f t="shared" si="8"/>
        <v>10</v>
      </c>
      <c r="H56">
        <f t="shared" si="9"/>
        <v>48</v>
      </c>
      <c r="I56">
        <v>92</v>
      </c>
      <c r="J56">
        <f t="shared" si="10"/>
        <v>46</v>
      </c>
      <c r="K56">
        <f t="shared" si="11"/>
        <v>94</v>
      </c>
    </row>
    <row r="57" spans="1:11" x14ac:dyDescent="0.25">
      <c r="A57" s="22" t="s">
        <v>114</v>
      </c>
      <c r="B57">
        <v>100</v>
      </c>
      <c r="C57" s="57">
        <f t="shared" si="6"/>
        <v>20</v>
      </c>
      <c r="D57">
        <v>98</v>
      </c>
      <c r="E57">
        <f t="shared" si="7"/>
        <v>19.600000000000001</v>
      </c>
      <c r="F57">
        <v>100</v>
      </c>
      <c r="G57">
        <f t="shared" si="8"/>
        <v>10</v>
      </c>
      <c r="H57">
        <f t="shared" si="9"/>
        <v>49.6</v>
      </c>
      <c r="I57">
        <v>93</v>
      </c>
      <c r="J57">
        <f t="shared" si="10"/>
        <v>46.5</v>
      </c>
      <c r="K57">
        <f t="shared" si="11"/>
        <v>96.1</v>
      </c>
    </row>
    <row r="58" spans="1:11" x14ac:dyDescent="0.25">
      <c r="A58" s="22" t="s">
        <v>115</v>
      </c>
      <c r="B58">
        <v>50</v>
      </c>
      <c r="C58" s="57">
        <f t="shared" si="6"/>
        <v>10</v>
      </c>
      <c r="D58">
        <v>84</v>
      </c>
      <c r="E58">
        <f t="shared" si="7"/>
        <v>16.8</v>
      </c>
      <c r="F58">
        <v>100</v>
      </c>
      <c r="G58">
        <f t="shared" si="8"/>
        <v>10</v>
      </c>
      <c r="H58">
        <f t="shared" si="9"/>
        <v>36.799999999999997</v>
      </c>
      <c r="I58">
        <v>73</v>
      </c>
      <c r="J58">
        <f t="shared" si="10"/>
        <v>36.5</v>
      </c>
      <c r="K58">
        <f t="shared" si="11"/>
        <v>73.3</v>
      </c>
    </row>
    <row r="59" spans="1:11" x14ac:dyDescent="0.25">
      <c r="A59" s="22" t="s">
        <v>116</v>
      </c>
      <c r="B59">
        <v>85</v>
      </c>
      <c r="C59" s="57">
        <f t="shared" si="6"/>
        <v>17</v>
      </c>
      <c r="D59">
        <v>100</v>
      </c>
      <c r="E59">
        <f t="shared" si="7"/>
        <v>20</v>
      </c>
      <c r="F59">
        <v>100</v>
      </c>
      <c r="G59">
        <f t="shared" si="8"/>
        <v>10</v>
      </c>
      <c r="H59">
        <f t="shared" si="9"/>
        <v>47</v>
      </c>
      <c r="I59">
        <v>89</v>
      </c>
      <c r="J59">
        <f t="shared" si="10"/>
        <v>44.5</v>
      </c>
      <c r="K59">
        <f t="shared" si="11"/>
        <v>91.5</v>
      </c>
    </row>
    <row r="60" spans="1:11" x14ac:dyDescent="0.25">
      <c r="A60" s="22" t="s">
        <v>117</v>
      </c>
      <c r="B60">
        <v>40</v>
      </c>
      <c r="C60" s="57">
        <f t="shared" si="6"/>
        <v>8</v>
      </c>
      <c r="D60">
        <v>88</v>
      </c>
      <c r="E60">
        <f t="shared" si="7"/>
        <v>17.600000000000001</v>
      </c>
      <c r="F60">
        <v>100</v>
      </c>
      <c r="G60">
        <f t="shared" si="8"/>
        <v>10</v>
      </c>
      <c r="H60">
        <f t="shared" si="9"/>
        <v>35.6</v>
      </c>
      <c r="I60">
        <v>74</v>
      </c>
      <c r="J60">
        <f t="shared" si="10"/>
        <v>37</v>
      </c>
      <c r="K60">
        <f t="shared" si="11"/>
        <v>72.599999999999994</v>
      </c>
    </row>
    <row r="61" spans="1:11" x14ac:dyDescent="0.25">
      <c r="A61" s="22" t="s">
        <v>118</v>
      </c>
      <c r="B61">
        <v>70</v>
      </c>
      <c r="C61" s="57">
        <f t="shared" si="6"/>
        <v>14</v>
      </c>
      <c r="D61">
        <v>88</v>
      </c>
      <c r="E61">
        <f t="shared" si="7"/>
        <v>17.600000000000001</v>
      </c>
      <c r="F61">
        <v>100</v>
      </c>
      <c r="G61">
        <f t="shared" si="8"/>
        <v>10</v>
      </c>
      <c r="H61">
        <f t="shared" si="9"/>
        <v>41.6</v>
      </c>
      <c r="I61">
        <v>93</v>
      </c>
      <c r="J61">
        <f t="shared" si="10"/>
        <v>46.5</v>
      </c>
      <c r="K61">
        <f t="shared" si="11"/>
        <v>88.1</v>
      </c>
    </row>
    <row r="62" spans="1:11" x14ac:dyDescent="0.25">
      <c r="A62" s="22" t="s">
        <v>119</v>
      </c>
      <c r="B62">
        <v>70</v>
      </c>
      <c r="C62" s="57">
        <f t="shared" si="6"/>
        <v>14</v>
      </c>
      <c r="D62">
        <v>78</v>
      </c>
      <c r="E62">
        <f t="shared" si="7"/>
        <v>15.600000000000001</v>
      </c>
      <c r="F62">
        <v>100</v>
      </c>
      <c r="G62">
        <f t="shared" si="8"/>
        <v>10</v>
      </c>
      <c r="H62">
        <f t="shared" si="9"/>
        <v>39.6</v>
      </c>
      <c r="I62">
        <v>69</v>
      </c>
      <c r="J62">
        <f t="shared" si="10"/>
        <v>34.5</v>
      </c>
      <c r="K62">
        <f t="shared" si="11"/>
        <v>74.099999999999994</v>
      </c>
    </row>
    <row r="63" spans="1:11" x14ac:dyDescent="0.25">
      <c r="A63" s="22" t="s">
        <v>120</v>
      </c>
      <c r="B63">
        <v>100</v>
      </c>
      <c r="C63" s="57">
        <f t="shared" si="6"/>
        <v>20</v>
      </c>
      <c r="D63">
        <v>88</v>
      </c>
      <c r="E63">
        <f t="shared" si="7"/>
        <v>17.600000000000001</v>
      </c>
      <c r="F63">
        <v>100</v>
      </c>
      <c r="G63">
        <f t="shared" si="8"/>
        <v>10</v>
      </c>
      <c r="H63">
        <f t="shared" si="9"/>
        <v>47.6</v>
      </c>
      <c r="I63">
        <v>89</v>
      </c>
      <c r="J63">
        <f t="shared" si="10"/>
        <v>44.5</v>
      </c>
      <c r="K63">
        <f t="shared" si="11"/>
        <v>92.1</v>
      </c>
    </row>
    <row r="64" spans="1:11" x14ac:dyDescent="0.25">
      <c r="A64" s="22" t="s">
        <v>121</v>
      </c>
      <c r="B64">
        <v>100</v>
      </c>
      <c r="C64" s="57">
        <f t="shared" si="6"/>
        <v>20</v>
      </c>
      <c r="D64">
        <v>98</v>
      </c>
      <c r="E64">
        <f t="shared" si="7"/>
        <v>19.600000000000001</v>
      </c>
      <c r="F64">
        <v>100</v>
      </c>
      <c r="G64">
        <f t="shared" si="8"/>
        <v>10</v>
      </c>
      <c r="H64">
        <f t="shared" si="9"/>
        <v>49.6</v>
      </c>
      <c r="I64">
        <v>86</v>
      </c>
      <c r="J64">
        <f t="shared" si="10"/>
        <v>43</v>
      </c>
      <c r="K64">
        <f t="shared" si="11"/>
        <v>92.6</v>
      </c>
    </row>
    <row r="65" spans="1:11" x14ac:dyDescent="0.25">
      <c r="A65" s="22" t="s">
        <v>122</v>
      </c>
      <c r="B65">
        <v>78</v>
      </c>
      <c r="C65" s="57">
        <f t="shared" si="6"/>
        <v>15.600000000000001</v>
      </c>
      <c r="D65">
        <v>86</v>
      </c>
      <c r="E65">
        <f t="shared" si="7"/>
        <v>17.2</v>
      </c>
      <c r="F65">
        <v>100</v>
      </c>
      <c r="G65">
        <f t="shared" si="8"/>
        <v>10</v>
      </c>
      <c r="H65">
        <f t="shared" si="9"/>
        <v>42.8</v>
      </c>
      <c r="I65">
        <v>87</v>
      </c>
      <c r="J65">
        <f t="shared" si="10"/>
        <v>43.5</v>
      </c>
      <c r="K65">
        <f t="shared" si="11"/>
        <v>86.3</v>
      </c>
    </row>
    <row r="66" spans="1:11" x14ac:dyDescent="0.25">
      <c r="A66" s="22" t="s">
        <v>123</v>
      </c>
      <c r="B66">
        <v>45</v>
      </c>
      <c r="C66" s="57">
        <f t="shared" si="6"/>
        <v>9</v>
      </c>
      <c r="D66">
        <v>94</v>
      </c>
      <c r="E66">
        <f t="shared" si="7"/>
        <v>18.8</v>
      </c>
      <c r="F66">
        <v>100</v>
      </c>
      <c r="G66">
        <f t="shared" si="8"/>
        <v>10</v>
      </c>
      <c r="H66">
        <f t="shared" si="9"/>
        <v>37.799999999999997</v>
      </c>
      <c r="I66">
        <v>74</v>
      </c>
      <c r="J66">
        <f t="shared" si="10"/>
        <v>37</v>
      </c>
      <c r="K66">
        <f t="shared" si="11"/>
        <v>74.8</v>
      </c>
    </row>
    <row r="67" spans="1:11" x14ac:dyDescent="0.25">
      <c r="A67" s="22" t="s">
        <v>124</v>
      </c>
      <c r="B67">
        <v>65</v>
      </c>
      <c r="C67" s="57">
        <f t="shared" si="6"/>
        <v>13</v>
      </c>
      <c r="D67">
        <v>86</v>
      </c>
      <c r="E67">
        <f t="shared" si="7"/>
        <v>17.2</v>
      </c>
      <c r="F67">
        <v>100</v>
      </c>
      <c r="G67">
        <f t="shared" si="8"/>
        <v>10</v>
      </c>
      <c r="H67">
        <f t="shared" si="9"/>
        <v>40.200000000000003</v>
      </c>
      <c r="I67">
        <v>87</v>
      </c>
      <c r="J67">
        <f t="shared" si="10"/>
        <v>43.5</v>
      </c>
      <c r="K67">
        <f t="shared" si="11"/>
        <v>83.7</v>
      </c>
    </row>
    <row r="68" spans="1:11" x14ac:dyDescent="0.25">
      <c r="A68" s="22" t="s">
        <v>125</v>
      </c>
      <c r="B68">
        <v>85</v>
      </c>
      <c r="C68" s="57">
        <f t="shared" si="6"/>
        <v>17</v>
      </c>
      <c r="D68">
        <v>88</v>
      </c>
      <c r="E68">
        <f t="shared" si="7"/>
        <v>17.600000000000001</v>
      </c>
      <c r="F68">
        <v>100</v>
      </c>
      <c r="G68">
        <f t="shared" si="8"/>
        <v>10</v>
      </c>
      <c r="H68">
        <f t="shared" si="9"/>
        <v>44.6</v>
      </c>
      <c r="I68">
        <v>79</v>
      </c>
      <c r="J68">
        <f t="shared" si="10"/>
        <v>39.5</v>
      </c>
      <c r="K68">
        <f t="shared" si="11"/>
        <v>84.1</v>
      </c>
    </row>
    <row r="69" spans="1:11" x14ac:dyDescent="0.25">
      <c r="A69" s="22" t="s">
        <v>126</v>
      </c>
      <c r="B69">
        <v>85</v>
      </c>
      <c r="C69" s="57">
        <f t="shared" si="6"/>
        <v>17</v>
      </c>
      <c r="D69">
        <v>98</v>
      </c>
      <c r="E69">
        <f t="shared" si="7"/>
        <v>19.600000000000001</v>
      </c>
      <c r="F69">
        <v>100</v>
      </c>
      <c r="G69">
        <f t="shared" si="8"/>
        <v>10</v>
      </c>
      <c r="H69">
        <f t="shared" si="9"/>
        <v>46.6</v>
      </c>
      <c r="I69">
        <v>90</v>
      </c>
      <c r="J69">
        <f t="shared" si="10"/>
        <v>45</v>
      </c>
      <c r="K69">
        <f t="shared" si="11"/>
        <v>91.6</v>
      </c>
    </row>
    <row r="70" spans="1:11" x14ac:dyDescent="0.25">
      <c r="A70" s="22" t="s">
        <v>127</v>
      </c>
      <c r="B70">
        <v>100</v>
      </c>
      <c r="C70" s="57">
        <f t="shared" si="6"/>
        <v>20</v>
      </c>
      <c r="D70">
        <v>100</v>
      </c>
      <c r="E70">
        <f t="shared" si="7"/>
        <v>20</v>
      </c>
      <c r="F70">
        <v>100</v>
      </c>
      <c r="G70">
        <f t="shared" si="8"/>
        <v>10</v>
      </c>
      <c r="H70">
        <f t="shared" si="9"/>
        <v>50</v>
      </c>
      <c r="I70">
        <v>95</v>
      </c>
      <c r="J70">
        <f t="shared" si="10"/>
        <v>47.5</v>
      </c>
      <c r="K70">
        <f t="shared" si="11"/>
        <v>97.5</v>
      </c>
    </row>
    <row r="71" spans="1:11" x14ac:dyDescent="0.25">
      <c r="A71" s="22" t="s">
        <v>128</v>
      </c>
      <c r="B71">
        <v>100</v>
      </c>
      <c r="C71" s="57">
        <f t="shared" si="6"/>
        <v>20</v>
      </c>
      <c r="D71">
        <v>90</v>
      </c>
      <c r="E71">
        <f t="shared" si="7"/>
        <v>18</v>
      </c>
      <c r="F71">
        <v>100</v>
      </c>
      <c r="G71">
        <f t="shared" si="8"/>
        <v>10</v>
      </c>
      <c r="H71">
        <f t="shared" si="9"/>
        <v>48</v>
      </c>
      <c r="I71">
        <v>97</v>
      </c>
      <c r="J71">
        <f t="shared" si="10"/>
        <v>48.5</v>
      </c>
      <c r="K71">
        <f t="shared" si="11"/>
        <v>96.5</v>
      </c>
    </row>
    <row r="72" spans="1:11" x14ac:dyDescent="0.25">
      <c r="A72" s="22" t="s">
        <v>129</v>
      </c>
      <c r="B72">
        <v>30</v>
      </c>
      <c r="C72" s="57">
        <f t="shared" si="6"/>
        <v>6</v>
      </c>
      <c r="D72">
        <v>68</v>
      </c>
      <c r="E72">
        <f t="shared" si="7"/>
        <v>13.600000000000001</v>
      </c>
      <c r="F72">
        <v>100</v>
      </c>
      <c r="G72">
        <f t="shared" si="8"/>
        <v>10</v>
      </c>
      <c r="H72">
        <f t="shared" si="9"/>
        <v>29.6</v>
      </c>
      <c r="I72">
        <v>77</v>
      </c>
      <c r="J72">
        <f t="shared" si="10"/>
        <v>38.5</v>
      </c>
      <c r="K72">
        <f t="shared" si="11"/>
        <v>68.099999999999994</v>
      </c>
    </row>
    <row r="73" spans="1:11" x14ac:dyDescent="0.25">
      <c r="A73" s="22" t="s">
        <v>130</v>
      </c>
      <c r="B73">
        <v>80</v>
      </c>
      <c r="C73" s="57">
        <f t="shared" si="6"/>
        <v>16</v>
      </c>
      <c r="D73">
        <v>96</v>
      </c>
      <c r="E73">
        <f t="shared" si="7"/>
        <v>19.200000000000003</v>
      </c>
      <c r="F73">
        <v>100</v>
      </c>
      <c r="G73">
        <f t="shared" si="8"/>
        <v>10</v>
      </c>
      <c r="H73">
        <f t="shared" si="9"/>
        <v>45.2</v>
      </c>
      <c r="I73">
        <v>83</v>
      </c>
      <c r="J73">
        <f t="shared" si="10"/>
        <v>41.5</v>
      </c>
      <c r="K73">
        <f t="shared" si="11"/>
        <v>86.7</v>
      </c>
    </row>
    <row r="74" spans="1:11" x14ac:dyDescent="0.25">
      <c r="A74" s="22" t="s">
        <v>131</v>
      </c>
      <c r="B74">
        <v>85</v>
      </c>
      <c r="C74" s="57">
        <f t="shared" si="6"/>
        <v>17</v>
      </c>
      <c r="D74">
        <v>88</v>
      </c>
      <c r="E74">
        <f t="shared" si="7"/>
        <v>17.600000000000001</v>
      </c>
      <c r="F74">
        <v>100</v>
      </c>
      <c r="G74">
        <f t="shared" si="8"/>
        <v>10</v>
      </c>
      <c r="H74">
        <f t="shared" si="9"/>
        <v>44.6</v>
      </c>
      <c r="I74">
        <v>72</v>
      </c>
      <c r="J74">
        <f t="shared" si="10"/>
        <v>36</v>
      </c>
      <c r="K74">
        <f t="shared" si="11"/>
        <v>80.599999999999994</v>
      </c>
    </row>
    <row r="75" spans="1:11" x14ac:dyDescent="0.25">
      <c r="A75" s="22" t="s">
        <v>132</v>
      </c>
      <c r="B75">
        <v>85</v>
      </c>
      <c r="C75" s="57">
        <f t="shared" si="6"/>
        <v>17</v>
      </c>
      <c r="D75">
        <v>98</v>
      </c>
      <c r="E75">
        <f t="shared" si="7"/>
        <v>19.600000000000001</v>
      </c>
      <c r="F75">
        <v>100</v>
      </c>
      <c r="G75">
        <f t="shared" si="8"/>
        <v>10</v>
      </c>
      <c r="H75">
        <f t="shared" si="9"/>
        <v>46.6</v>
      </c>
      <c r="I75">
        <v>81</v>
      </c>
      <c r="J75">
        <f t="shared" si="10"/>
        <v>40.5</v>
      </c>
      <c r="K75">
        <f t="shared" si="11"/>
        <v>87.1</v>
      </c>
    </row>
    <row r="76" spans="1:11" x14ac:dyDescent="0.25">
      <c r="A76" s="22" t="s">
        <v>133</v>
      </c>
      <c r="B76">
        <v>85</v>
      </c>
      <c r="C76" s="57">
        <f t="shared" si="6"/>
        <v>17</v>
      </c>
      <c r="D76">
        <v>96</v>
      </c>
      <c r="E76">
        <f t="shared" si="7"/>
        <v>19.200000000000003</v>
      </c>
      <c r="F76">
        <v>100</v>
      </c>
      <c r="G76">
        <f t="shared" si="8"/>
        <v>10</v>
      </c>
      <c r="H76">
        <f t="shared" si="9"/>
        <v>46.2</v>
      </c>
      <c r="I76">
        <v>91</v>
      </c>
      <c r="J76">
        <f t="shared" si="10"/>
        <v>45.5</v>
      </c>
      <c r="K76">
        <f t="shared" si="11"/>
        <v>91.7</v>
      </c>
    </row>
    <row r="77" spans="1:11" x14ac:dyDescent="0.25">
      <c r="A77" s="22" t="s">
        <v>134</v>
      </c>
      <c r="B77">
        <v>100</v>
      </c>
      <c r="C77" s="57">
        <f t="shared" si="6"/>
        <v>20</v>
      </c>
      <c r="D77">
        <v>100</v>
      </c>
      <c r="E77">
        <f t="shared" si="7"/>
        <v>20</v>
      </c>
      <c r="F77">
        <v>100</v>
      </c>
      <c r="G77">
        <f t="shared" si="8"/>
        <v>10</v>
      </c>
      <c r="H77">
        <f t="shared" si="9"/>
        <v>50</v>
      </c>
      <c r="I77">
        <v>93</v>
      </c>
      <c r="J77">
        <f t="shared" si="10"/>
        <v>46.5</v>
      </c>
      <c r="K77">
        <f t="shared" si="11"/>
        <v>96.5</v>
      </c>
    </row>
    <row r="78" spans="1:11" x14ac:dyDescent="0.25">
      <c r="A78" s="22" t="s">
        <v>135</v>
      </c>
      <c r="B78">
        <v>85</v>
      </c>
      <c r="C78" s="57">
        <f t="shared" si="6"/>
        <v>17</v>
      </c>
      <c r="D78">
        <v>98</v>
      </c>
      <c r="E78">
        <f t="shared" si="7"/>
        <v>19.600000000000001</v>
      </c>
      <c r="F78">
        <v>100</v>
      </c>
      <c r="G78">
        <f t="shared" si="8"/>
        <v>10</v>
      </c>
      <c r="H78">
        <f t="shared" si="9"/>
        <v>46.6</v>
      </c>
      <c r="I78">
        <v>96</v>
      </c>
      <c r="J78">
        <f t="shared" si="10"/>
        <v>48</v>
      </c>
      <c r="K78">
        <f t="shared" si="11"/>
        <v>94.6</v>
      </c>
    </row>
    <row r="79" spans="1:11" x14ac:dyDescent="0.25">
      <c r="A79" s="22" t="s">
        <v>136</v>
      </c>
      <c r="B79">
        <v>50</v>
      </c>
      <c r="C79" s="57">
        <f t="shared" si="6"/>
        <v>10</v>
      </c>
      <c r="D79">
        <v>75</v>
      </c>
      <c r="E79">
        <f t="shared" si="7"/>
        <v>15</v>
      </c>
      <c r="F79">
        <v>100</v>
      </c>
      <c r="G79">
        <f t="shared" si="8"/>
        <v>10</v>
      </c>
      <c r="H79">
        <f t="shared" si="9"/>
        <v>35</v>
      </c>
      <c r="I79">
        <v>75</v>
      </c>
      <c r="J79">
        <f t="shared" si="10"/>
        <v>37.5</v>
      </c>
      <c r="K79">
        <f t="shared" si="11"/>
        <v>72.5</v>
      </c>
    </row>
    <row r="80" spans="1:11" x14ac:dyDescent="0.25">
      <c r="A80" s="22" t="s">
        <v>137</v>
      </c>
      <c r="B80">
        <v>100</v>
      </c>
      <c r="C80" s="57">
        <f t="shared" si="6"/>
        <v>20</v>
      </c>
      <c r="D80">
        <v>96</v>
      </c>
      <c r="E80">
        <f t="shared" si="7"/>
        <v>19.200000000000003</v>
      </c>
      <c r="F80">
        <v>100</v>
      </c>
      <c r="G80">
        <f t="shared" si="8"/>
        <v>10</v>
      </c>
      <c r="H80">
        <f t="shared" si="9"/>
        <v>49.2</v>
      </c>
      <c r="I80">
        <v>92</v>
      </c>
      <c r="J80">
        <f t="shared" si="10"/>
        <v>46</v>
      </c>
      <c r="K80">
        <f t="shared" si="11"/>
        <v>95.2</v>
      </c>
    </row>
  </sheetData>
  <mergeCells count="1">
    <mergeCell ref="D1:J1"/>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5A64D-3057-4456-9466-6F41EC8E909B}">
  <sheetPr codeName="Sheet15"/>
  <dimension ref="A1:P80"/>
  <sheetViews>
    <sheetView topLeftCell="A3" workbookViewId="0">
      <selection activeCell="I30" sqref="I30:I54"/>
    </sheetView>
  </sheetViews>
  <sheetFormatPr defaultRowHeight="15" x14ac:dyDescent="0.25"/>
  <cols>
    <col min="1" max="1" width="29.42578125" bestFit="1" customWidth="1"/>
    <col min="3" max="3" width="10.28515625" bestFit="1" customWidth="1"/>
    <col min="4" max="4" width="11.5703125" customWidth="1"/>
    <col min="5" max="5" width="16.42578125" customWidth="1"/>
    <col min="6" max="6" width="15.85546875" customWidth="1"/>
    <col min="7" max="8" width="15.5703125" customWidth="1"/>
    <col min="9" max="9" width="14.42578125" customWidth="1"/>
    <col min="10" max="10" width="19.140625" customWidth="1"/>
    <col min="12" max="12" width="15.140625" customWidth="1"/>
    <col min="17" max="17" width="15.140625" customWidth="1"/>
  </cols>
  <sheetData>
    <row r="1" spans="1:16" x14ac:dyDescent="0.25">
      <c r="D1" s="68"/>
      <c r="E1" s="68"/>
      <c r="F1" s="68"/>
      <c r="G1" s="68"/>
      <c r="H1" s="68"/>
      <c r="I1" s="68"/>
      <c r="J1" s="68"/>
    </row>
    <row r="2" spans="1:16" x14ac:dyDescent="0.25">
      <c r="A2" t="s">
        <v>0</v>
      </c>
      <c r="B2" t="s">
        <v>1</v>
      </c>
      <c r="C2" t="s">
        <v>48</v>
      </c>
      <c r="D2" t="s">
        <v>3</v>
      </c>
      <c r="E2" t="s">
        <v>49</v>
      </c>
      <c r="F2" t="s">
        <v>50</v>
      </c>
      <c r="G2" t="s">
        <v>51</v>
      </c>
      <c r="H2" t="s">
        <v>52</v>
      </c>
      <c r="I2" t="s">
        <v>2</v>
      </c>
      <c r="J2" t="s">
        <v>4</v>
      </c>
      <c r="K2" t="s">
        <v>5</v>
      </c>
    </row>
    <row r="3" spans="1:16" x14ac:dyDescent="0.25">
      <c r="A3" t="s">
        <v>20</v>
      </c>
      <c r="B3">
        <v>100</v>
      </c>
      <c r="C3">
        <f>B3*20%</f>
        <v>20</v>
      </c>
      <c r="D3">
        <v>96</v>
      </c>
      <c r="E3">
        <f t="shared" ref="E3:E4" si="0">D3*20%</f>
        <v>19.200000000000003</v>
      </c>
      <c r="F3">
        <v>100</v>
      </c>
      <c r="G3">
        <f>F3*10%</f>
        <v>10</v>
      </c>
      <c r="H3">
        <f t="shared" ref="H3:H29" si="1">C3+E3+G3</f>
        <v>49.2</v>
      </c>
      <c r="I3">
        <v>96</v>
      </c>
      <c r="J3">
        <f>I3*50%</f>
        <v>48</v>
      </c>
      <c r="K3">
        <f>C3+G3+E3+J3</f>
        <v>97.2</v>
      </c>
      <c r="N3" t="s">
        <v>36</v>
      </c>
      <c r="O3" t="s">
        <v>37</v>
      </c>
      <c r="P3" t="s">
        <v>38</v>
      </c>
    </row>
    <row r="4" spans="1:16" x14ac:dyDescent="0.25">
      <c r="A4" t="s">
        <v>18</v>
      </c>
      <c r="B4">
        <v>85</v>
      </c>
      <c r="C4">
        <f t="shared" ref="C4:C29" si="2">B4*20%</f>
        <v>17</v>
      </c>
      <c r="D4">
        <v>86</v>
      </c>
      <c r="E4">
        <f t="shared" si="0"/>
        <v>17.2</v>
      </c>
      <c r="F4">
        <v>100</v>
      </c>
      <c r="G4">
        <f>F4*10%</f>
        <v>10</v>
      </c>
      <c r="H4">
        <f t="shared" si="1"/>
        <v>44.2</v>
      </c>
      <c r="I4">
        <v>83</v>
      </c>
      <c r="J4">
        <f>I4*50%</f>
        <v>41.5</v>
      </c>
      <c r="K4">
        <f t="shared" ref="K4:K29" si="3">C4+G4+E4+J4</f>
        <v>85.7</v>
      </c>
      <c r="M4" t="s">
        <v>33</v>
      </c>
      <c r="N4">
        <f ca="1">AVERAGE(B3:B80)</f>
        <v>83.692307692307693</v>
      </c>
      <c r="O4">
        <f ca="1">AVERAGE(D3:D80)</f>
        <v>83.551282051282058</v>
      </c>
      <c r="P4">
        <f ca="1">AVERAGE(I3:I80)</f>
        <v>82.974358974358978</v>
      </c>
    </row>
    <row r="5" spans="1:16" x14ac:dyDescent="0.25">
      <c r="A5" t="s">
        <v>32</v>
      </c>
      <c r="B5">
        <v>100</v>
      </c>
      <c r="C5">
        <f t="shared" si="2"/>
        <v>20</v>
      </c>
      <c r="D5">
        <v>80</v>
      </c>
      <c r="E5">
        <f>D5*20%</f>
        <v>16</v>
      </c>
      <c r="F5">
        <v>100</v>
      </c>
      <c r="G5">
        <f t="shared" ref="G5:G29" si="4">F5*10%</f>
        <v>10</v>
      </c>
      <c r="H5">
        <f t="shared" si="1"/>
        <v>46</v>
      </c>
      <c r="I5">
        <v>80</v>
      </c>
      <c r="J5">
        <f t="shared" ref="J5:J29" si="5">I5*50%</f>
        <v>40</v>
      </c>
      <c r="K5">
        <f t="shared" si="3"/>
        <v>86</v>
      </c>
      <c r="M5" t="s">
        <v>34</v>
      </c>
      <c r="N5">
        <f ca="1">MAX(B3:B80)</f>
        <v>100</v>
      </c>
      <c r="O5">
        <f ca="1">MAX(D3:D80)</f>
        <v>100</v>
      </c>
      <c r="P5">
        <f ca="1">MAX(I3:I80)</f>
        <v>99</v>
      </c>
    </row>
    <row r="6" spans="1:16" x14ac:dyDescent="0.25">
      <c r="A6" t="s">
        <v>7</v>
      </c>
      <c r="B6">
        <v>95</v>
      </c>
      <c r="C6">
        <f t="shared" si="2"/>
        <v>19</v>
      </c>
      <c r="D6">
        <v>88</v>
      </c>
      <c r="E6">
        <f>D6*20%</f>
        <v>17.600000000000001</v>
      </c>
      <c r="F6">
        <v>100</v>
      </c>
      <c r="G6">
        <f t="shared" si="4"/>
        <v>10</v>
      </c>
      <c r="H6">
        <f t="shared" si="1"/>
        <v>46.6</v>
      </c>
      <c r="I6">
        <v>88</v>
      </c>
      <c r="J6">
        <f t="shared" si="5"/>
        <v>44</v>
      </c>
      <c r="K6">
        <f t="shared" si="3"/>
        <v>90.6</v>
      </c>
      <c r="M6" t="s">
        <v>35</v>
      </c>
      <c r="N6">
        <f ca="1">MIN(B3:B80)</f>
        <v>60</v>
      </c>
      <c r="O6">
        <f ca="1">MIN(D3:D80)</f>
        <v>32</v>
      </c>
      <c r="P6">
        <f ca="1">MIN(J3:J80)</f>
        <v>16</v>
      </c>
    </row>
    <row r="7" spans="1:16" x14ac:dyDescent="0.25">
      <c r="A7" t="s">
        <v>19</v>
      </c>
      <c r="B7">
        <v>95</v>
      </c>
      <c r="C7">
        <f t="shared" si="2"/>
        <v>19</v>
      </c>
      <c r="D7">
        <v>88</v>
      </c>
      <c r="E7">
        <f t="shared" ref="E7:E67" si="6">D7*20%</f>
        <v>17.600000000000001</v>
      </c>
      <c r="F7">
        <v>100</v>
      </c>
      <c r="G7">
        <f t="shared" si="4"/>
        <v>10</v>
      </c>
      <c r="H7">
        <f t="shared" si="1"/>
        <v>46.6</v>
      </c>
      <c r="I7">
        <v>88</v>
      </c>
      <c r="J7">
        <f t="shared" si="5"/>
        <v>44</v>
      </c>
      <c r="K7">
        <f t="shared" si="3"/>
        <v>90.6</v>
      </c>
    </row>
    <row r="8" spans="1:16" x14ac:dyDescent="0.25">
      <c r="A8" t="s">
        <v>9</v>
      </c>
      <c r="B8">
        <v>80</v>
      </c>
      <c r="C8">
        <f t="shared" si="2"/>
        <v>16</v>
      </c>
      <c r="D8">
        <v>91</v>
      </c>
      <c r="E8">
        <f t="shared" si="6"/>
        <v>18.2</v>
      </c>
      <c r="F8">
        <v>100</v>
      </c>
      <c r="G8">
        <f t="shared" si="4"/>
        <v>10</v>
      </c>
      <c r="H8">
        <f t="shared" si="1"/>
        <v>44.2</v>
      </c>
      <c r="I8">
        <v>91</v>
      </c>
      <c r="J8">
        <f t="shared" si="5"/>
        <v>45.5</v>
      </c>
      <c r="K8">
        <f t="shared" si="3"/>
        <v>89.7</v>
      </c>
    </row>
    <row r="9" spans="1:16" x14ac:dyDescent="0.25">
      <c r="A9" t="s">
        <v>21</v>
      </c>
      <c r="B9">
        <v>100</v>
      </c>
      <c r="C9">
        <f t="shared" si="2"/>
        <v>20</v>
      </c>
      <c r="D9">
        <v>96</v>
      </c>
      <c r="E9">
        <f t="shared" si="6"/>
        <v>19.200000000000003</v>
      </c>
      <c r="F9">
        <v>100</v>
      </c>
      <c r="G9">
        <f t="shared" si="4"/>
        <v>10</v>
      </c>
      <c r="H9">
        <f t="shared" si="1"/>
        <v>49.2</v>
      </c>
      <c r="I9">
        <v>96</v>
      </c>
      <c r="J9">
        <f t="shared" si="5"/>
        <v>48</v>
      </c>
      <c r="K9">
        <f t="shared" si="3"/>
        <v>97.2</v>
      </c>
    </row>
    <row r="10" spans="1:16" x14ac:dyDescent="0.25">
      <c r="A10" t="s">
        <v>8</v>
      </c>
      <c r="B10">
        <v>90</v>
      </c>
      <c r="C10">
        <f t="shared" si="2"/>
        <v>18</v>
      </c>
      <c r="D10">
        <v>90</v>
      </c>
      <c r="E10">
        <f t="shared" si="6"/>
        <v>18</v>
      </c>
      <c r="F10">
        <v>100</v>
      </c>
      <c r="G10">
        <f t="shared" si="4"/>
        <v>10</v>
      </c>
      <c r="H10">
        <f t="shared" si="1"/>
        <v>46</v>
      </c>
      <c r="I10">
        <v>90</v>
      </c>
      <c r="J10">
        <f t="shared" si="5"/>
        <v>45</v>
      </c>
      <c r="K10">
        <f t="shared" si="3"/>
        <v>91</v>
      </c>
    </row>
    <row r="11" spans="1:16" x14ac:dyDescent="0.25">
      <c r="A11" t="s">
        <v>10</v>
      </c>
      <c r="B11">
        <v>100</v>
      </c>
      <c r="C11">
        <f t="shared" si="2"/>
        <v>20</v>
      </c>
      <c r="D11">
        <v>96</v>
      </c>
      <c r="E11">
        <f t="shared" si="6"/>
        <v>19.200000000000003</v>
      </c>
      <c r="F11">
        <v>100</v>
      </c>
      <c r="G11">
        <f t="shared" si="4"/>
        <v>10</v>
      </c>
      <c r="H11">
        <f t="shared" si="1"/>
        <v>49.2</v>
      </c>
      <c r="I11">
        <v>96</v>
      </c>
      <c r="J11">
        <f t="shared" si="5"/>
        <v>48</v>
      </c>
      <c r="K11">
        <f t="shared" si="3"/>
        <v>97.2</v>
      </c>
    </row>
    <row r="12" spans="1:16" x14ac:dyDescent="0.25">
      <c r="A12" t="s">
        <v>6</v>
      </c>
      <c r="B12">
        <v>80</v>
      </c>
      <c r="C12">
        <f t="shared" si="2"/>
        <v>16</v>
      </c>
      <c r="D12">
        <v>45</v>
      </c>
      <c r="E12">
        <f t="shared" si="6"/>
        <v>9</v>
      </c>
      <c r="F12">
        <v>100</v>
      </c>
      <c r="G12">
        <f t="shared" si="4"/>
        <v>10</v>
      </c>
      <c r="H12">
        <f t="shared" si="1"/>
        <v>35</v>
      </c>
      <c r="I12">
        <v>45</v>
      </c>
      <c r="J12">
        <f t="shared" si="5"/>
        <v>22.5</v>
      </c>
      <c r="K12">
        <f t="shared" si="3"/>
        <v>57.5</v>
      </c>
    </row>
    <row r="13" spans="1:16" x14ac:dyDescent="0.25">
      <c r="A13" t="s">
        <v>17</v>
      </c>
      <c r="B13">
        <v>80</v>
      </c>
      <c r="C13">
        <f t="shared" si="2"/>
        <v>16</v>
      </c>
      <c r="D13">
        <v>32</v>
      </c>
      <c r="E13">
        <f t="shared" si="6"/>
        <v>6.4</v>
      </c>
      <c r="F13">
        <v>100</v>
      </c>
      <c r="G13">
        <f t="shared" si="4"/>
        <v>10</v>
      </c>
      <c r="H13">
        <f t="shared" si="1"/>
        <v>32.4</v>
      </c>
      <c r="I13">
        <v>32</v>
      </c>
      <c r="J13">
        <f t="shared" si="5"/>
        <v>16</v>
      </c>
      <c r="K13">
        <f t="shared" si="3"/>
        <v>48.4</v>
      </c>
    </row>
    <row r="14" spans="1:16" x14ac:dyDescent="0.25">
      <c r="A14" t="s">
        <v>22</v>
      </c>
      <c r="B14">
        <v>80</v>
      </c>
      <c r="C14">
        <f t="shared" si="2"/>
        <v>16</v>
      </c>
      <c r="D14">
        <v>96</v>
      </c>
      <c r="E14">
        <f t="shared" si="6"/>
        <v>19.200000000000003</v>
      </c>
      <c r="F14">
        <v>100</v>
      </c>
      <c r="G14">
        <f t="shared" si="4"/>
        <v>10</v>
      </c>
      <c r="H14">
        <f t="shared" si="1"/>
        <v>45.2</v>
      </c>
      <c r="I14">
        <v>96</v>
      </c>
      <c r="J14">
        <f t="shared" si="5"/>
        <v>48</v>
      </c>
      <c r="K14">
        <f t="shared" si="3"/>
        <v>93.2</v>
      </c>
    </row>
    <row r="15" spans="1:16" x14ac:dyDescent="0.25">
      <c r="A15" t="s">
        <v>11</v>
      </c>
      <c r="B15">
        <v>95</v>
      </c>
      <c r="C15">
        <f t="shared" si="2"/>
        <v>19</v>
      </c>
      <c r="D15">
        <v>93</v>
      </c>
      <c r="E15">
        <f t="shared" si="6"/>
        <v>18.600000000000001</v>
      </c>
      <c r="F15">
        <v>100</v>
      </c>
      <c r="G15">
        <f t="shared" si="4"/>
        <v>10</v>
      </c>
      <c r="H15">
        <f t="shared" si="1"/>
        <v>47.6</v>
      </c>
      <c r="I15">
        <v>93</v>
      </c>
      <c r="J15">
        <f t="shared" si="5"/>
        <v>46.5</v>
      </c>
      <c r="K15">
        <f t="shared" si="3"/>
        <v>94.1</v>
      </c>
    </row>
    <row r="16" spans="1:16" x14ac:dyDescent="0.25">
      <c r="A16" t="s">
        <v>23</v>
      </c>
      <c r="B16">
        <v>90</v>
      </c>
      <c r="C16">
        <f t="shared" si="2"/>
        <v>18</v>
      </c>
      <c r="D16">
        <v>82</v>
      </c>
      <c r="E16">
        <f t="shared" si="6"/>
        <v>16.400000000000002</v>
      </c>
      <c r="F16">
        <v>100</v>
      </c>
      <c r="G16">
        <f t="shared" si="4"/>
        <v>10</v>
      </c>
      <c r="H16">
        <f t="shared" si="1"/>
        <v>44.400000000000006</v>
      </c>
      <c r="I16">
        <v>82</v>
      </c>
      <c r="J16">
        <f t="shared" si="5"/>
        <v>41</v>
      </c>
      <c r="K16">
        <f t="shared" si="3"/>
        <v>85.4</v>
      </c>
    </row>
    <row r="17" spans="1:11" x14ac:dyDescent="0.25">
      <c r="A17" t="s">
        <v>12</v>
      </c>
      <c r="B17">
        <v>100</v>
      </c>
      <c r="C17">
        <f t="shared" si="2"/>
        <v>20</v>
      </c>
      <c r="D17">
        <v>89</v>
      </c>
      <c r="E17">
        <f t="shared" si="6"/>
        <v>17.8</v>
      </c>
      <c r="F17">
        <v>100</v>
      </c>
      <c r="G17">
        <f t="shared" si="4"/>
        <v>10</v>
      </c>
      <c r="H17">
        <f t="shared" si="1"/>
        <v>47.8</v>
      </c>
      <c r="I17">
        <v>89</v>
      </c>
      <c r="J17">
        <f t="shared" si="5"/>
        <v>44.5</v>
      </c>
      <c r="K17">
        <f t="shared" si="3"/>
        <v>92.3</v>
      </c>
    </row>
    <row r="18" spans="1:11" x14ac:dyDescent="0.25">
      <c r="A18" t="s">
        <v>13</v>
      </c>
      <c r="B18">
        <v>80</v>
      </c>
      <c r="C18">
        <f t="shared" si="2"/>
        <v>16</v>
      </c>
      <c r="D18">
        <v>71</v>
      </c>
      <c r="E18">
        <f t="shared" si="6"/>
        <v>14.200000000000001</v>
      </c>
      <c r="F18">
        <v>100</v>
      </c>
      <c r="G18">
        <f t="shared" si="4"/>
        <v>10</v>
      </c>
      <c r="H18">
        <f t="shared" si="1"/>
        <v>40.200000000000003</v>
      </c>
      <c r="I18">
        <v>71</v>
      </c>
      <c r="J18">
        <f t="shared" si="5"/>
        <v>35.5</v>
      </c>
      <c r="K18">
        <f t="shared" si="3"/>
        <v>75.7</v>
      </c>
    </row>
    <row r="19" spans="1:11" x14ac:dyDescent="0.25">
      <c r="A19" t="s">
        <v>27</v>
      </c>
      <c r="B19">
        <v>95</v>
      </c>
      <c r="C19">
        <f t="shared" si="2"/>
        <v>19</v>
      </c>
      <c r="D19">
        <v>73</v>
      </c>
      <c r="E19">
        <f t="shared" si="6"/>
        <v>14.600000000000001</v>
      </c>
      <c r="F19">
        <v>100</v>
      </c>
      <c r="G19">
        <f t="shared" si="4"/>
        <v>10</v>
      </c>
      <c r="H19">
        <f t="shared" si="1"/>
        <v>43.6</v>
      </c>
      <c r="I19">
        <v>73</v>
      </c>
      <c r="J19">
        <f t="shared" si="5"/>
        <v>36.5</v>
      </c>
      <c r="K19">
        <f t="shared" si="3"/>
        <v>80.099999999999994</v>
      </c>
    </row>
    <row r="20" spans="1:11" x14ac:dyDescent="0.25">
      <c r="A20" t="s">
        <v>24</v>
      </c>
      <c r="B20">
        <v>100</v>
      </c>
      <c r="C20">
        <f t="shared" si="2"/>
        <v>20</v>
      </c>
      <c r="D20">
        <v>77</v>
      </c>
      <c r="E20">
        <f t="shared" si="6"/>
        <v>15.4</v>
      </c>
      <c r="F20">
        <v>100</v>
      </c>
      <c r="G20">
        <f t="shared" si="4"/>
        <v>10</v>
      </c>
      <c r="H20">
        <f t="shared" si="1"/>
        <v>45.4</v>
      </c>
      <c r="I20">
        <v>77</v>
      </c>
      <c r="J20">
        <f t="shared" si="5"/>
        <v>38.5</v>
      </c>
      <c r="K20">
        <f t="shared" si="3"/>
        <v>83.9</v>
      </c>
    </row>
    <row r="21" spans="1:11" x14ac:dyDescent="0.25">
      <c r="A21" t="s">
        <v>26</v>
      </c>
      <c r="B21">
        <v>100</v>
      </c>
      <c r="C21">
        <f t="shared" si="2"/>
        <v>20</v>
      </c>
      <c r="D21">
        <v>94</v>
      </c>
      <c r="E21">
        <f t="shared" si="6"/>
        <v>18.8</v>
      </c>
      <c r="F21">
        <v>100</v>
      </c>
      <c r="G21">
        <f t="shared" si="4"/>
        <v>10</v>
      </c>
      <c r="H21">
        <f t="shared" si="1"/>
        <v>48.8</v>
      </c>
      <c r="I21">
        <v>94</v>
      </c>
      <c r="J21">
        <f t="shared" si="5"/>
        <v>47</v>
      </c>
      <c r="K21">
        <f t="shared" si="3"/>
        <v>95.8</v>
      </c>
    </row>
    <row r="22" spans="1:11" x14ac:dyDescent="0.25">
      <c r="A22" t="s">
        <v>28</v>
      </c>
      <c r="B22">
        <v>85</v>
      </c>
      <c r="C22">
        <f t="shared" si="2"/>
        <v>17</v>
      </c>
      <c r="D22">
        <v>47</v>
      </c>
      <c r="E22">
        <f t="shared" si="6"/>
        <v>9.4</v>
      </c>
      <c r="F22">
        <v>100</v>
      </c>
      <c r="G22">
        <f t="shared" si="4"/>
        <v>10</v>
      </c>
      <c r="H22">
        <f t="shared" si="1"/>
        <v>36.4</v>
      </c>
      <c r="I22">
        <v>47</v>
      </c>
      <c r="J22">
        <f t="shared" si="5"/>
        <v>23.5</v>
      </c>
      <c r="K22">
        <f t="shared" si="3"/>
        <v>59.9</v>
      </c>
    </row>
    <row r="23" spans="1:11" x14ac:dyDescent="0.25">
      <c r="A23" t="s">
        <v>25</v>
      </c>
      <c r="B23">
        <v>88</v>
      </c>
      <c r="C23">
        <f t="shared" si="2"/>
        <v>17.600000000000001</v>
      </c>
      <c r="D23">
        <v>60</v>
      </c>
      <c r="E23">
        <f t="shared" si="6"/>
        <v>12</v>
      </c>
      <c r="F23">
        <v>100</v>
      </c>
      <c r="G23">
        <f t="shared" si="4"/>
        <v>10</v>
      </c>
      <c r="H23">
        <f t="shared" si="1"/>
        <v>39.6</v>
      </c>
      <c r="I23">
        <v>60</v>
      </c>
      <c r="J23">
        <f t="shared" si="5"/>
        <v>30</v>
      </c>
      <c r="K23">
        <f t="shared" si="3"/>
        <v>69.599999999999994</v>
      </c>
    </row>
    <row r="24" spans="1:11" x14ac:dyDescent="0.25">
      <c r="A24" t="s">
        <v>31</v>
      </c>
      <c r="B24">
        <v>100</v>
      </c>
      <c r="C24">
        <f t="shared" si="2"/>
        <v>20</v>
      </c>
      <c r="D24">
        <v>96</v>
      </c>
      <c r="E24">
        <f t="shared" si="6"/>
        <v>19.200000000000003</v>
      </c>
      <c r="F24">
        <v>100</v>
      </c>
      <c r="G24">
        <f t="shared" si="4"/>
        <v>10</v>
      </c>
      <c r="H24">
        <f t="shared" si="1"/>
        <v>49.2</v>
      </c>
      <c r="I24">
        <v>96</v>
      </c>
      <c r="J24">
        <f t="shared" si="5"/>
        <v>48</v>
      </c>
      <c r="K24">
        <f t="shared" si="3"/>
        <v>97.2</v>
      </c>
    </row>
    <row r="25" spans="1:11" x14ac:dyDescent="0.25">
      <c r="A25" t="s">
        <v>14</v>
      </c>
      <c r="B25">
        <v>80</v>
      </c>
      <c r="C25">
        <f t="shared" si="2"/>
        <v>16</v>
      </c>
      <c r="D25">
        <v>78</v>
      </c>
      <c r="E25">
        <f t="shared" si="6"/>
        <v>15.600000000000001</v>
      </c>
      <c r="F25">
        <v>100</v>
      </c>
      <c r="G25">
        <f t="shared" si="4"/>
        <v>10</v>
      </c>
      <c r="H25">
        <f t="shared" si="1"/>
        <v>41.6</v>
      </c>
      <c r="I25">
        <v>78</v>
      </c>
      <c r="J25">
        <f t="shared" si="5"/>
        <v>39</v>
      </c>
      <c r="K25">
        <f t="shared" si="3"/>
        <v>80.599999999999994</v>
      </c>
    </row>
    <row r="26" spans="1:11" x14ac:dyDescent="0.25">
      <c r="A26" t="s">
        <v>16</v>
      </c>
      <c r="B26">
        <v>90</v>
      </c>
      <c r="C26">
        <f t="shared" si="2"/>
        <v>18</v>
      </c>
      <c r="D26">
        <v>94</v>
      </c>
      <c r="E26">
        <f t="shared" si="6"/>
        <v>18.8</v>
      </c>
      <c r="F26">
        <v>100</v>
      </c>
      <c r="G26">
        <f t="shared" si="4"/>
        <v>10</v>
      </c>
      <c r="H26">
        <f t="shared" si="1"/>
        <v>46.8</v>
      </c>
      <c r="I26">
        <v>94</v>
      </c>
      <c r="J26">
        <f t="shared" si="5"/>
        <v>47</v>
      </c>
      <c r="K26">
        <f t="shared" si="3"/>
        <v>93.8</v>
      </c>
    </row>
    <row r="27" spans="1:11" x14ac:dyDescent="0.25">
      <c r="A27" t="s">
        <v>29</v>
      </c>
      <c r="B27">
        <v>80</v>
      </c>
      <c r="C27">
        <f t="shared" si="2"/>
        <v>16</v>
      </c>
      <c r="D27">
        <v>77</v>
      </c>
      <c r="E27">
        <f t="shared" si="6"/>
        <v>15.4</v>
      </c>
      <c r="F27">
        <v>100</v>
      </c>
      <c r="G27">
        <f t="shared" si="4"/>
        <v>10</v>
      </c>
      <c r="H27">
        <f t="shared" si="1"/>
        <v>41.4</v>
      </c>
      <c r="I27">
        <v>77</v>
      </c>
      <c r="J27">
        <f t="shared" si="5"/>
        <v>38.5</v>
      </c>
      <c r="K27">
        <f t="shared" si="3"/>
        <v>79.900000000000006</v>
      </c>
    </row>
    <row r="28" spans="1:11" x14ac:dyDescent="0.25">
      <c r="A28" t="s">
        <v>15</v>
      </c>
      <c r="B28">
        <v>80</v>
      </c>
      <c r="C28">
        <f t="shared" si="2"/>
        <v>16</v>
      </c>
      <c r="D28">
        <v>71</v>
      </c>
      <c r="E28">
        <f t="shared" si="6"/>
        <v>14.200000000000001</v>
      </c>
      <c r="F28">
        <v>100</v>
      </c>
      <c r="G28">
        <f t="shared" si="4"/>
        <v>10</v>
      </c>
      <c r="H28">
        <f t="shared" si="1"/>
        <v>40.200000000000003</v>
      </c>
      <c r="I28">
        <v>71</v>
      </c>
      <c r="J28">
        <f t="shared" si="5"/>
        <v>35.5</v>
      </c>
      <c r="K28">
        <f t="shared" si="3"/>
        <v>75.7</v>
      </c>
    </row>
    <row r="29" spans="1:11" x14ac:dyDescent="0.25">
      <c r="A29" t="s">
        <v>30</v>
      </c>
      <c r="B29">
        <v>80</v>
      </c>
      <c r="C29">
        <f t="shared" si="2"/>
        <v>16</v>
      </c>
      <c r="D29">
        <v>79</v>
      </c>
      <c r="E29">
        <f t="shared" si="6"/>
        <v>15.8</v>
      </c>
      <c r="F29">
        <v>100</v>
      </c>
      <c r="G29">
        <f t="shared" si="4"/>
        <v>10</v>
      </c>
      <c r="H29">
        <f t="shared" si="1"/>
        <v>41.8</v>
      </c>
      <c r="I29">
        <v>79</v>
      </c>
      <c r="J29">
        <f t="shared" si="5"/>
        <v>39.5</v>
      </c>
      <c r="K29">
        <f t="shared" si="3"/>
        <v>81.3</v>
      </c>
    </row>
    <row r="30" spans="1:11" x14ac:dyDescent="0.25">
      <c r="A30" t="s">
        <v>145</v>
      </c>
      <c r="B30">
        <f ca="1">RANDBETWEEN(60, 100)</f>
        <v>62</v>
      </c>
      <c r="C30">
        <f ca="1">B30*20%</f>
        <v>12.4</v>
      </c>
      <c r="D30">
        <f ca="1">RANDBETWEEN(60, 100)</f>
        <v>98</v>
      </c>
      <c r="E30">
        <f t="shared" ca="1" si="6"/>
        <v>19.600000000000001</v>
      </c>
      <c r="F30">
        <v>100</v>
      </c>
      <c r="G30">
        <f>F30*10%</f>
        <v>10</v>
      </c>
      <c r="H30">
        <f ca="1">C30+E30+G30</f>
        <v>42</v>
      </c>
      <c r="I30">
        <f ca="1">RANDBETWEEN(60, 100)</f>
        <v>92</v>
      </c>
      <c r="J30">
        <f ca="1">I30*50%</f>
        <v>46</v>
      </c>
      <c r="K30">
        <f ca="1">C30+G30+E30+J30</f>
        <v>88</v>
      </c>
    </row>
    <row r="31" spans="1:11" x14ac:dyDescent="0.25">
      <c r="A31" s="22" t="s">
        <v>88</v>
      </c>
      <c r="B31">
        <f t="shared" ref="B31:B54" ca="1" si="7">RANDBETWEEN(60, 100)</f>
        <v>65</v>
      </c>
      <c r="C31">
        <f ca="1">B31*20%</f>
        <v>13</v>
      </c>
      <c r="D31">
        <f t="shared" ref="D31:D54" ca="1" si="8">RANDBETWEEN(60, 100)</f>
        <v>66</v>
      </c>
      <c r="E31">
        <f t="shared" ca="1" si="6"/>
        <v>13.200000000000001</v>
      </c>
      <c r="F31">
        <v>100</v>
      </c>
      <c r="G31">
        <f>F31*10%</f>
        <v>10</v>
      </c>
      <c r="H31">
        <f ca="1">C31+E31+G31</f>
        <v>36.200000000000003</v>
      </c>
      <c r="I31">
        <f t="shared" ref="I31:I54" ca="1" si="9">RANDBETWEEN(60, 100)</f>
        <v>67</v>
      </c>
      <c r="J31">
        <f ca="1">I31*50%</f>
        <v>33.5</v>
      </c>
      <c r="K31">
        <f ca="1">C31+G31+E31+J31</f>
        <v>69.7</v>
      </c>
    </row>
    <row r="32" spans="1:11" x14ac:dyDescent="0.25">
      <c r="A32" s="22" t="s">
        <v>89</v>
      </c>
      <c r="B32">
        <f t="shared" ca="1" si="7"/>
        <v>74</v>
      </c>
      <c r="C32">
        <f ca="1">B32*20%</f>
        <v>14.8</v>
      </c>
      <c r="D32">
        <f t="shared" ca="1" si="8"/>
        <v>88</v>
      </c>
      <c r="E32">
        <f t="shared" ca="1" si="6"/>
        <v>17.600000000000001</v>
      </c>
      <c r="F32">
        <v>100</v>
      </c>
      <c r="G32">
        <f>F32*10%</f>
        <v>10</v>
      </c>
      <c r="H32">
        <f ca="1">C32+E32+G32</f>
        <v>42.400000000000006</v>
      </c>
      <c r="I32">
        <f t="shared" ca="1" si="9"/>
        <v>80</v>
      </c>
      <c r="J32">
        <f ca="1">I32*50%</f>
        <v>40</v>
      </c>
      <c r="K32">
        <f ca="1">C32+G32+E32+J32</f>
        <v>82.4</v>
      </c>
    </row>
    <row r="33" spans="1:11" x14ac:dyDescent="0.25">
      <c r="A33" s="22" t="s">
        <v>90</v>
      </c>
      <c r="B33">
        <f t="shared" ca="1" si="7"/>
        <v>65</v>
      </c>
      <c r="C33">
        <f t="shared" ref="C33:C80" ca="1" si="10">B33*20%</f>
        <v>13</v>
      </c>
      <c r="D33">
        <f t="shared" ca="1" si="8"/>
        <v>96</v>
      </c>
      <c r="E33">
        <f t="shared" ca="1" si="6"/>
        <v>19.200000000000003</v>
      </c>
      <c r="F33">
        <v>100</v>
      </c>
      <c r="G33">
        <f t="shared" ref="G33:G80" si="11">F33*10%</f>
        <v>10</v>
      </c>
      <c r="H33">
        <f t="shared" ref="H33:H80" ca="1" si="12">C33+E33+G33</f>
        <v>42.2</v>
      </c>
      <c r="I33">
        <f t="shared" ca="1" si="9"/>
        <v>61</v>
      </c>
      <c r="J33">
        <f t="shared" ref="J33:J80" ca="1" si="13">I33*50%</f>
        <v>30.5</v>
      </c>
      <c r="K33">
        <f t="shared" ref="K33:K80" ca="1" si="14">C33+G33+E33+J33</f>
        <v>72.7</v>
      </c>
    </row>
    <row r="34" spans="1:11" x14ac:dyDescent="0.25">
      <c r="A34" s="22" t="s">
        <v>91</v>
      </c>
      <c r="B34">
        <f t="shared" ca="1" si="7"/>
        <v>94</v>
      </c>
      <c r="C34">
        <f t="shared" ca="1" si="10"/>
        <v>18.8</v>
      </c>
      <c r="D34">
        <f t="shared" ca="1" si="8"/>
        <v>81</v>
      </c>
      <c r="E34">
        <f t="shared" ca="1" si="6"/>
        <v>16.2</v>
      </c>
      <c r="F34">
        <v>100</v>
      </c>
      <c r="G34">
        <f t="shared" si="11"/>
        <v>10</v>
      </c>
      <c r="H34">
        <f t="shared" ca="1" si="12"/>
        <v>45</v>
      </c>
      <c r="I34">
        <f t="shared" ca="1" si="9"/>
        <v>85</v>
      </c>
      <c r="J34">
        <f t="shared" ca="1" si="13"/>
        <v>42.5</v>
      </c>
      <c r="K34">
        <f t="shared" ca="1" si="14"/>
        <v>87.5</v>
      </c>
    </row>
    <row r="35" spans="1:11" x14ac:dyDescent="0.25">
      <c r="A35" s="22" t="s">
        <v>92</v>
      </c>
      <c r="B35">
        <f t="shared" ca="1" si="7"/>
        <v>61</v>
      </c>
      <c r="C35">
        <f t="shared" ca="1" si="10"/>
        <v>12.200000000000001</v>
      </c>
      <c r="D35">
        <f t="shared" ca="1" si="8"/>
        <v>100</v>
      </c>
      <c r="E35">
        <f t="shared" ca="1" si="6"/>
        <v>20</v>
      </c>
      <c r="F35">
        <v>100</v>
      </c>
      <c r="G35">
        <f t="shared" si="11"/>
        <v>10</v>
      </c>
      <c r="H35">
        <f t="shared" ca="1" si="12"/>
        <v>42.2</v>
      </c>
      <c r="I35">
        <f t="shared" ca="1" si="9"/>
        <v>62</v>
      </c>
      <c r="J35">
        <f t="shared" ca="1" si="13"/>
        <v>31</v>
      </c>
      <c r="K35">
        <f t="shared" ca="1" si="14"/>
        <v>73.2</v>
      </c>
    </row>
    <row r="36" spans="1:11" x14ac:dyDescent="0.25">
      <c r="A36" s="22" t="s">
        <v>93</v>
      </c>
      <c r="B36">
        <f t="shared" ca="1" si="7"/>
        <v>84</v>
      </c>
      <c r="C36">
        <f t="shared" ca="1" si="10"/>
        <v>16.8</v>
      </c>
      <c r="D36">
        <f t="shared" ca="1" si="8"/>
        <v>88</v>
      </c>
      <c r="E36">
        <f t="shared" ca="1" si="6"/>
        <v>17.600000000000001</v>
      </c>
      <c r="F36">
        <v>100</v>
      </c>
      <c r="G36">
        <f t="shared" si="11"/>
        <v>10</v>
      </c>
      <c r="H36">
        <f t="shared" ca="1" si="12"/>
        <v>44.400000000000006</v>
      </c>
      <c r="I36">
        <f t="shared" ca="1" si="9"/>
        <v>71</v>
      </c>
      <c r="J36">
        <f t="shared" ca="1" si="13"/>
        <v>35.5</v>
      </c>
      <c r="K36">
        <f t="shared" ca="1" si="14"/>
        <v>79.900000000000006</v>
      </c>
    </row>
    <row r="37" spans="1:11" x14ac:dyDescent="0.25">
      <c r="A37" s="22" t="s">
        <v>94</v>
      </c>
      <c r="B37">
        <f t="shared" ca="1" si="7"/>
        <v>78</v>
      </c>
      <c r="C37">
        <f t="shared" ca="1" si="10"/>
        <v>15.600000000000001</v>
      </c>
      <c r="D37">
        <f t="shared" ca="1" si="8"/>
        <v>75</v>
      </c>
      <c r="E37">
        <f t="shared" ca="1" si="6"/>
        <v>15</v>
      </c>
      <c r="F37">
        <v>100</v>
      </c>
      <c r="G37">
        <f t="shared" si="11"/>
        <v>10</v>
      </c>
      <c r="H37">
        <f t="shared" ca="1" si="12"/>
        <v>40.6</v>
      </c>
      <c r="I37">
        <f t="shared" ca="1" si="9"/>
        <v>87</v>
      </c>
      <c r="J37">
        <f t="shared" ca="1" si="13"/>
        <v>43.5</v>
      </c>
      <c r="K37">
        <f t="shared" ca="1" si="14"/>
        <v>84.1</v>
      </c>
    </row>
    <row r="38" spans="1:11" x14ac:dyDescent="0.25">
      <c r="A38" s="22" t="s">
        <v>95</v>
      </c>
      <c r="B38">
        <f t="shared" ca="1" si="7"/>
        <v>90</v>
      </c>
      <c r="C38">
        <f t="shared" ca="1" si="10"/>
        <v>18</v>
      </c>
      <c r="D38">
        <f t="shared" ca="1" si="8"/>
        <v>91</v>
      </c>
      <c r="E38">
        <f t="shared" ca="1" si="6"/>
        <v>18.2</v>
      </c>
      <c r="F38">
        <v>100</v>
      </c>
      <c r="G38">
        <f t="shared" si="11"/>
        <v>10</v>
      </c>
      <c r="H38">
        <f t="shared" ca="1" si="12"/>
        <v>46.2</v>
      </c>
      <c r="I38">
        <f t="shared" ca="1" si="9"/>
        <v>91</v>
      </c>
      <c r="J38">
        <f t="shared" ca="1" si="13"/>
        <v>45.5</v>
      </c>
      <c r="K38">
        <f t="shared" ca="1" si="14"/>
        <v>91.7</v>
      </c>
    </row>
    <row r="39" spans="1:11" x14ac:dyDescent="0.25">
      <c r="A39" s="22" t="s">
        <v>96</v>
      </c>
      <c r="B39">
        <f t="shared" ca="1" si="7"/>
        <v>78</v>
      </c>
      <c r="C39">
        <f t="shared" ca="1" si="10"/>
        <v>15.600000000000001</v>
      </c>
      <c r="D39">
        <f t="shared" ca="1" si="8"/>
        <v>83</v>
      </c>
      <c r="E39">
        <f t="shared" ca="1" si="6"/>
        <v>16.600000000000001</v>
      </c>
      <c r="F39">
        <v>100</v>
      </c>
      <c r="G39">
        <f t="shared" si="11"/>
        <v>10</v>
      </c>
      <c r="H39">
        <f t="shared" ca="1" si="12"/>
        <v>42.2</v>
      </c>
      <c r="I39">
        <f t="shared" ca="1" si="9"/>
        <v>60</v>
      </c>
      <c r="J39">
        <f t="shared" ca="1" si="13"/>
        <v>30</v>
      </c>
      <c r="K39">
        <f t="shared" ca="1" si="14"/>
        <v>72.2</v>
      </c>
    </row>
    <row r="40" spans="1:11" x14ac:dyDescent="0.25">
      <c r="A40" s="22" t="s">
        <v>97</v>
      </c>
      <c r="B40">
        <f t="shared" ca="1" si="7"/>
        <v>90</v>
      </c>
      <c r="C40">
        <f t="shared" ca="1" si="10"/>
        <v>18</v>
      </c>
      <c r="D40">
        <f t="shared" ca="1" si="8"/>
        <v>65</v>
      </c>
      <c r="E40">
        <f t="shared" ca="1" si="6"/>
        <v>13</v>
      </c>
      <c r="F40">
        <v>100</v>
      </c>
      <c r="G40">
        <f t="shared" si="11"/>
        <v>10</v>
      </c>
      <c r="H40">
        <f t="shared" ca="1" si="12"/>
        <v>41</v>
      </c>
      <c r="I40">
        <f t="shared" ca="1" si="9"/>
        <v>90</v>
      </c>
      <c r="J40">
        <f t="shared" ca="1" si="13"/>
        <v>45</v>
      </c>
      <c r="K40">
        <f t="shared" ca="1" si="14"/>
        <v>86</v>
      </c>
    </row>
    <row r="41" spans="1:11" x14ac:dyDescent="0.25">
      <c r="A41" s="22" t="s">
        <v>98</v>
      </c>
      <c r="B41">
        <f t="shared" ca="1" si="7"/>
        <v>61</v>
      </c>
      <c r="C41">
        <f t="shared" ca="1" si="10"/>
        <v>12.200000000000001</v>
      </c>
      <c r="D41">
        <f t="shared" ca="1" si="8"/>
        <v>96</v>
      </c>
      <c r="E41">
        <f t="shared" ca="1" si="6"/>
        <v>19.200000000000003</v>
      </c>
      <c r="F41">
        <v>100</v>
      </c>
      <c r="G41">
        <f t="shared" si="11"/>
        <v>10</v>
      </c>
      <c r="H41">
        <f t="shared" ca="1" si="12"/>
        <v>41.400000000000006</v>
      </c>
      <c r="I41">
        <f t="shared" ca="1" si="9"/>
        <v>87</v>
      </c>
      <c r="J41">
        <f t="shared" ca="1" si="13"/>
        <v>43.5</v>
      </c>
      <c r="K41">
        <f t="shared" ca="1" si="14"/>
        <v>84.9</v>
      </c>
    </row>
    <row r="42" spans="1:11" x14ac:dyDescent="0.25">
      <c r="A42" s="22" t="s">
        <v>99</v>
      </c>
      <c r="B42">
        <f t="shared" ca="1" si="7"/>
        <v>97</v>
      </c>
      <c r="C42">
        <f t="shared" ca="1" si="10"/>
        <v>19.400000000000002</v>
      </c>
      <c r="D42">
        <f t="shared" ca="1" si="8"/>
        <v>62</v>
      </c>
      <c r="E42">
        <f t="shared" ca="1" si="6"/>
        <v>12.4</v>
      </c>
      <c r="F42">
        <v>100</v>
      </c>
      <c r="G42">
        <f t="shared" si="11"/>
        <v>10</v>
      </c>
      <c r="H42">
        <f t="shared" ca="1" si="12"/>
        <v>41.800000000000004</v>
      </c>
      <c r="I42">
        <f t="shared" ca="1" si="9"/>
        <v>68</v>
      </c>
      <c r="J42">
        <f t="shared" ca="1" si="13"/>
        <v>34</v>
      </c>
      <c r="K42">
        <f t="shared" ca="1" si="14"/>
        <v>75.800000000000011</v>
      </c>
    </row>
    <row r="43" spans="1:11" x14ac:dyDescent="0.25">
      <c r="A43" s="22" t="s">
        <v>100</v>
      </c>
      <c r="B43">
        <f t="shared" ca="1" si="7"/>
        <v>92</v>
      </c>
      <c r="C43">
        <f t="shared" ca="1" si="10"/>
        <v>18.400000000000002</v>
      </c>
      <c r="D43">
        <f t="shared" ca="1" si="8"/>
        <v>79</v>
      </c>
      <c r="E43">
        <f t="shared" ca="1" si="6"/>
        <v>15.8</v>
      </c>
      <c r="F43">
        <v>100</v>
      </c>
      <c r="G43">
        <f t="shared" si="11"/>
        <v>10</v>
      </c>
      <c r="H43">
        <f t="shared" ca="1" si="12"/>
        <v>44.2</v>
      </c>
      <c r="I43">
        <f t="shared" ca="1" si="9"/>
        <v>89</v>
      </c>
      <c r="J43">
        <f t="shared" ca="1" si="13"/>
        <v>44.5</v>
      </c>
      <c r="K43">
        <f t="shared" ca="1" si="14"/>
        <v>88.7</v>
      </c>
    </row>
    <row r="44" spans="1:11" x14ac:dyDescent="0.25">
      <c r="A44" s="22" t="s">
        <v>101</v>
      </c>
      <c r="B44">
        <f t="shared" ca="1" si="7"/>
        <v>82</v>
      </c>
      <c r="C44">
        <f t="shared" ca="1" si="10"/>
        <v>16.400000000000002</v>
      </c>
      <c r="D44">
        <f t="shared" ca="1" si="8"/>
        <v>98</v>
      </c>
      <c r="E44">
        <f t="shared" ca="1" si="6"/>
        <v>19.600000000000001</v>
      </c>
      <c r="F44">
        <v>100</v>
      </c>
      <c r="G44">
        <f t="shared" si="11"/>
        <v>10</v>
      </c>
      <c r="H44">
        <f t="shared" ca="1" si="12"/>
        <v>46</v>
      </c>
      <c r="I44">
        <f t="shared" ca="1" si="9"/>
        <v>78</v>
      </c>
      <c r="J44">
        <f t="shared" ca="1" si="13"/>
        <v>39</v>
      </c>
      <c r="K44">
        <f t="shared" ca="1" si="14"/>
        <v>85</v>
      </c>
    </row>
    <row r="45" spans="1:11" x14ac:dyDescent="0.25">
      <c r="A45" s="22" t="s">
        <v>102</v>
      </c>
      <c r="B45">
        <f t="shared" ca="1" si="7"/>
        <v>64</v>
      </c>
      <c r="C45">
        <f t="shared" ca="1" si="10"/>
        <v>12.8</v>
      </c>
      <c r="D45">
        <f t="shared" ca="1" si="8"/>
        <v>77</v>
      </c>
      <c r="E45">
        <f t="shared" ca="1" si="6"/>
        <v>15.4</v>
      </c>
      <c r="F45">
        <v>100</v>
      </c>
      <c r="G45">
        <f t="shared" si="11"/>
        <v>10</v>
      </c>
      <c r="H45">
        <f t="shared" ca="1" si="12"/>
        <v>38.200000000000003</v>
      </c>
      <c r="I45">
        <f t="shared" ca="1" si="9"/>
        <v>70</v>
      </c>
      <c r="J45">
        <f t="shared" ca="1" si="13"/>
        <v>35</v>
      </c>
      <c r="K45">
        <f t="shared" ca="1" si="14"/>
        <v>73.2</v>
      </c>
    </row>
    <row r="46" spans="1:11" x14ac:dyDescent="0.25">
      <c r="A46" s="22" t="s">
        <v>103</v>
      </c>
      <c r="B46">
        <f t="shared" ca="1" si="7"/>
        <v>92</v>
      </c>
      <c r="C46">
        <f t="shared" ca="1" si="10"/>
        <v>18.400000000000002</v>
      </c>
      <c r="D46">
        <f t="shared" ca="1" si="8"/>
        <v>85</v>
      </c>
      <c r="E46">
        <f t="shared" ca="1" si="6"/>
        <v>17</v>
      </c>
      <c r="F46">
        <v>100</v>
      </c>
      <c r="G46">
        <f t="shared" si="11"/>
        <v>10</v>
      </c>
      <c r="H46">
        <f t="shared" ca="1" si="12"/>
        <v>45.400000000000006</v>
      </c>
      <c r="I46">
        <f t="shared" ca="1" si="9"/>
        <v>89</v>
      </c>
      <c r="J46">
        <f t="shared" ca="1" si="13"/>
        <v>44.5</v>
      </c>
      <c r="K46">
        <f t="shared" ca="1" si="14"/>
        <v>89.9</v>
      </c>
    </row>
    <row r="47" spans="1:11" x14ac:dyDescent="0.25">
      <c r="A47" s="22" t="s">
        <v>104</v>
      </c>
      <c r="B47">
        <f t="shared" ca="1" si="7"/>
        <v>75</v>
      </c>
      <c r="C47">
        <f t="shared" ca="1" si="10"/>
        <v>15</v>
      </c>
      <c r="D47">
        <f t="shared" ca="1" si="8"/>
        <v>63</v>
      </c>
      <c r="E47">
        <f t="shared" ca="1" si="6"/>
        <v>12.600000000000001</v>
      </c>
      <c r="F47">
        <v>100</v>
      </c>
      <c r="G47">
        <f t="shared" si="11"/>
        <v>10</v>
      </c>
      <c r="H47">
        <f t="shared" ca="1" si="12"/>
        <v>37.6</v>
      </c>
      <c r="I47">
        <f t="shared" ca="1" si="9"/>
        <v>69</v>
      </c>
      <c r="J47">
        <f t="shared" ca="1" si="13"/>
        <v>34.5</v>
      </c>
      <c r="K47">
        <f t="shared" ca="1" si="14"/>
        <v>72.099999999999994</v>
      </c>
    </row>
    <row r="48" spans="1:11" x14ac:dyDescent="0.25">
      <c r="A48" s="22" t="s">
        <v>105</v>
      </c>
      <c r="B48">
        <f t="shared" ca="1" si="7"/>
        <v>92</v>
      </c>
      <c r="C48">
        <f t="shared" ca="1" si="10"/>
        <v>18.400000000000002</v>
      </c>
      <c r="D48">
        <f t="shared" ca="1" si="8"/>
        <v>67</v>
      </c>
      <c r="E48">
        <f t="shared" ca="1" si="6"/>
        <v>13.4</v>
      </c>
      <c r="F48">
        <v>100</v>
      </c>
      <c r="G48">
        <f t="shared" si="11"/>
        <v>10</v>
      </c>
      <c r="H48">
        <f t="shared" ca="1" si="12"/>
        <v>41.800000000000004</v>
      </c>
      <c r="I48">
        <f t="shared" ca="1" si="9"/>
        <v>78</v>
      </c>
      <c r="J48">
        <f t="shared" ca="1" si="13"/>
        <v>39</v>
      </c>
      <c r="K48">
        <f t="shared" ca="1" si="14"/>
        <v>80.800000000000011</v>
      </c>
    </row>
    <row r="49" spans="1:11" x14ac:dyDescent="0.25">
      <c r="A49" s="22" t="s">
        <v>106</v>
      </c>
      <c r="B49">
        <f t="shared" ca="1" si="7"/>
        <v>69</v>
      </c>
      <c r="C49">
        <f t="shared" ca="1" si="10"/>
        <v>13.8</v>
      </c>
      <c r="D49">
        <f t="shared" ca="1" si="8"/>
        <v>99</v>
      </c>
      <c r="E49">
        <f t="shared" ca="1" si="6"/>
        <v>19.8</v>
      </c>
      <c r="F49">
        <v>100</v>
      </c>
      <c r="G49">
        <f t="shared" si="11"/>
        <v>10</v>
      </c>
      <c r="H49">
        <f t="shared" ca="1" si="12"/>
        <v>43.6</v>
      </c>
      <c r="I49">
        <f t="shared" ca="1" si="9"/>
        <v>99</v>
      </c>
      <c r="J49">
        <f t="shared" ca="1" si="13"/>
        <v>49.5</v>
      </c>
      <c r="K49">
        <f t="shared" ca="1" si="14"/>
        <v>93.1</v>
      </c>
    </row>
    <row r="50" spans="1:11" x14ac:dyDescent="0.25">
      <c r="A50" s="22" t="s">
        <v>107</v>
      </c>
      <c r="B50">
        <f t="shared" ca="1" si="7"/>
        <v>72</v>
      </c>
      <c r="C50">
        <f t="shared" ca="1" si="10"/>
        <v>14.4</v>
      </c>
      <c r="D50">
        <f t="shared" ca="1" si="8"/>
        <v>75</v>
      </c>
      <c r="E50">
        <f t="shared" ca="1" si="6"/>
        <v>15</v>
      </c>
      <c r="F50">
        <v>100</v>
      </c>
      <c r="G50">
        <f t="shared" si="11"/>
        <v>10</v>
      </c>
      <c r="H50">
        <f t="shared" ca="1" si="12"/>
        <v>39.4</v>
      </c>
      <c r="I50">
        <f t="shared" ca="1" si="9"/>
        <v>60</v>
      </c>
      <c r="J50">
        <f t="shared" ca="1" si="13"/>
        <v>30</v>
      </c>
      <c r="K50">
        <f t="shared" ca="1" si="14"/>
        <v>69.400000000000006</v>
      </c>
    </row>
    <row r="51" spans="1:11" x14ac:dyDescent="0.25">
      <c r="A51" s="22" t="s">
        <v>108</v>
      </c>
      <c r="B51">
        <f t="shared" ca="1" si="7"/>
        <v>77</v>
      </c>
      <c r="C51">
        <f t="shared" ca="1" si="10"/>
        <v>15.4</v>
      </c>
      <c r="D51">
        <f t="shared" ca="1" si="8"/>
        <v>72</v>
      </c>
      <c r="E51">
        <f t="shared" ca="1" si="6"/>
        <v>14.4</v>
      </c>
      <c r="F51">
        <v>100</v>
      </c>
      <c r="G51">
        <f t="shared" si="11"/>
        <v>10</v>
      </c>
      <c r="H51">
        <f t="shared" ca="1" si="12"/>
        <v>39.799999999999997</v>
      </c>
      <c r="I51">
        <f t="shared" ca="1" si="9"/>
        <v>71</v>
      </c>
      <c r="J51">
        <f t="shared" ca="1" si="13"/>
        <v>35.5</v>
      </c>
      <c r="K51">
        <f t="shared" ca="1" si="14"/>
        <v>75.3</v>
      </c>
    </row>
    <row r="52" spans="1:11" x14ac:dyDescent="0.25">
      <c r="A52" s="22" t="s">
        <v>109</v>
      </c>
      <c r="B52">
        <f t="shared" ca="1" si="7"/>
        <v>96</v>
      </c>
      <c r="C52">
        <f t="shared" ca="1" si="10"/>
        <v>19.200000000000003</v>
      </c>
      <c r="D52">
        <f t="shared" ca="1" si="8"/>
        <v>94</v>
      </c>
      <c r="E52">
        <f t="shared" ca="1" si="6"/>
        <v>18.8</v>
      </c>
      <c r="F52">
        <v>100</v>
      </c>
      <c r="G52">
        <f t="shared" si="11"/>
        <v>10</v>
      </c>
      <c r="H52">
        <f t="shared" ca="1" si="12"/>
        <v>48</v>
      </c>
      <c r="I52">
        <f t="shared" ca="1" si="9"/>
        <v>81</v>
      </c>
      <c r="J52">
        <f t="shared" ca="1" si="13"/>
        <v>40.5</v>
      </c>
      <c r="K52">
        <f t="shared" ca="1" si="14"/>
        <v>88.5</v>
      </c>
    </row>
    <row r="53" spans="1:11" x14ac:dyDescent="0.25">
      <c r="A53" s="22" t="s">
        <v>110</v>
      </c>
      <c r="B53">
        <f t="shared" ca="1" si="7"/>
        <v>67</v>
      </c>
      <c r="C53">
        <f t="shared" ca="1" si="10"/>
        <v>13.4</v>
      </c>
      <c r="D53">
        <f t="shared" ca="1" si="8"/>
        <v>84</v>
      </c>
      <c r="E53">
        <f t="shared" ca="1" si="6"/>
        <v>16.8</v>
      </c>
      <c r="F53">
        <v>100</v>
      </c>
      <c r="G53">
        <f t="shared" si="11"/>
        <v>10</v>
      </c>
      <c r="H53">
        <f t="shared" ca="1" si="12"/>
        <v>40.200000000000003</v>
      </c>
      <c r="I53">
        <f t="shared" ca="1" si="9"/>
        <v>92</v>
      </c>
      <c r="J53">
        <f t="shared" ca="1" si="13"/>
        <v>46</v>
      </c>
      <c r="K53">
        <f t="shared" ca="1" si="14"/>
        <v>86.2</v>
      </c>
    </row>
    <row r="54" spans="1:11" x14ac:dyDescent="0.25">
      <c r="A54" s="22" t="s">
        <v>111</v>
      </c>
      <c r="B54">
        <f t="shared" ca="1" si="7"/>
        <v>98</v>
      </c>
      <c r="C54">
        <f t="shared" ca="1" si="10"/>
        <v>19.600000000000001</v>
      </c>
      <c r="D54">
        <f t="shared" ca="1" si="8"/>
        <v>87</v>
      </c>
      <c r="E54">
        <f t="shared" ca="1" si="6"/>
        <v>17.400000000000002</v>
      </c>
      <c r="F54">
        <v>100</v>
      </c>
      <c r="G54">
        <f t="shared" si="11"/>
        <v>10</v>
      </c>
      <c r="H54">
        <f t="shared" ca="1" si="12"/>
        <v>47</v>
      </c>
      <c r="I54">
        <f t="shared" ca="1" si="9"/>
        <v>95</v>
      </c>
      <c r="J54">
        <f t="shared" ca="1" si="13"/>
        <v>47.5</v>
      </c>
      <c r="K54">
        <f t="shared" ca="1" si="14"/>
        <v>94.5</v>
      </c>
    </row>
    <row r="55" spans="1:11" s="57" customFormat="1" x14ac:dyDescent="0.25">
      <c r="A55" s="56" t="s">
        <v>112</v>
      </c>
      <c r="B55" s="57">
        <v>60</v>
      </c>
      <c r="C55" s="57">
        <f t="shared" si="10"/>
        <v>12</v>
      </c>
      <c r="D55" s="57">
        <v>72</v>
      </c>
      <c r="E55" s="57">
        <f t="shared" si="6"/>
        <v>14.4</v>
      </c>
      <c r="F55" s="57">
        <v>100</v>
      </c>
      <c r="G55" s="57">
        <f t="shared" si="11"/>
        <v>10</v>
      </c>
      <c r="H55" s="57">
        <f t="shared" si="12"/>
        <v>36.4</v>
      </c>
      <c r="I55" s="57">
        <v>83</v>
      </c>
      <c r="J55" s="57">
        <f t="shared" si="13"/>
        <v>41.5</v>
      </c>
      <c r="K55" s="57">
        <f t="shared" si="14"/>
        <v>77.900000000000006</v>
      </c>
    </row>
    <row r="56" spans="1:11" x14ac:dyDescent="0.25">
      <c r="A56" s="22" t="s">
        <v>113</v>
      </c>
      <c r="B56">
        <v>80</v>
      </c>
      <c r="C56">
        <f t="shared" si="10"/>
        <v>16</v>
      </c>
      <c r="D56">
        <v>95</v>
      </c>
      <c r="E56">
        <f t="shared" si="6"/>
        <v>19</v>
      </c>
      <c r="F56">
        <v>100</v>
      </c>
      <c r="G56">
        <f t="shared" si="11"/>
        <v>10</v>
      </c>
      <c r="H56">
        <f t="shared" si="12"/>
        <v>45</v>
      </c>
      <c r="I56">
        <v>91</v>
      </c>
      <c r="J56">
        <f t="shared" si="13"/>
        <v>45.5</v>
      </c>
      <c r="K56">
        <f t="shared" si="14"/>
        <v>90.5</v>
      </c>
    </row>
    <row r="57" spans="1:11" x14ac:dyDescent="0.25">
      <c r="A57" s="22" t="s">
        <v>114</v>
      </c>
      <c r="B57">
        <v>100</v>
      </c>
      <c r="C57">
        <f t="shared" si="10"/>
        <v>20</v>
      </c>
      <c r="D57">
        <v>100</v>
      </c>
      <c r="E57">
        <f t="shared" si="6"/>
        <v>20</v>
      </c>
      <c r="F57">
        <v>100</v>
      </c>
      <c r="G57">
        <f t="shared" si="11"/>
        <v>10</v>
      </c>
      <c r="H57">
        <f t="shared" si="12"/>
        <v>50</v>
      </c>
      <c r="I57">
        <v>96</v>
      </c>
      <c r="J57">
        <f t="shared" si="13"/>
        <v>48</v>
      </c>
      <c r="K57">
        <f t="shared" si="14"/>
        <v>98</v>
      </c>
    </row>
    <row r="58" spans="1:11" x14ac:dyDescent="0.25">
      <c r="A58" s="22" t="s">
        <v>115</v>
      </c>
      <c r="B58">
        <v>70</v>
      </c>
      <c r="C58">
        <f t="shared" si="10"/>
        <v>14</v>
      </c>
      <c r="D58">
        <v>69</v>
      </c>
      <c r="E58">
        <f t="shared" si="6"/>
        <v>13.8</v>
      </c>
      <c r="F58">
        <v>100</v>
      </c>
      <c r="G58">
        <f t="shared" si="11"/>
        <v>10</v>
      </c>
      <c r="H58">
        <f t="shared" si="12"/>
        <v>37.799999999999997</v>
      </c>
      <c r="I58">
        <v>82</v>
      </c>
      <c r="J58">
        <f t="shared" si="13"/>
        <v>41</v>
      </c>
      <c r="K58">
        <f t="shared" si="14"/>
        <v>78.8</v>
      </c>
    </row>
    <row r="59" spans="1:11" x14ac:dyDescent="0.25">
      <c r="A59" s="22" t="s">
        <v>116</v>
      </c>
      <c r="B59">
        <v>100</v>
      </c>
      <c r="C59">
        <f t="shared" si="10"/>
        <v>20</v>
      </c>
      <c r="D59">
        <v>96</v>
      </c>
      <c r="E59">
        <f t="shared" si="6"/>
        <v>19.200000000000003</v>
      </c>
      <c r="F59">
        <v>100</v>
      </c>
      <c r="G59">
        <f t="shared" si="11"/>
        <v>10</v>
      </c>
      <c r="H59">
        <f t="shared" si="12"/>
        <v>49.2</v>
      </c>
      <c r="I59">
        <v>94</v>
      </c>
      <c r="J59">
        <f t="shared" si="13"/>
        <v>47</v>
      </c>
      <c r="K59">
        <f t="shared" si="14"/>
        <v>96.2</v>
      </c>
    </row>
    <row r="60" spans="1:11" x14ac:dyDescent="0.25">
      <c r="A60" s="22" t="s">
        <v>117</v>
      </c>
      <c r="B60">
        <v>70</v>
      </c>
      <c r="C60">
        <f t="shared" si="10"/>
        <v>14</v>
      </c>
      <c r="D60">
        <v>71</v>
      </c>
      <c r="E60">
        <f t="shared" si="6"/>
        <v>14.200000000000001</v>
      </c>
      <c r="F60">
        <v>100</v>
      </c>
      <c r="G60">
        <f t="shared" si="11"/>
        <v>10</v>
      </c>
      <c r="H60">
        <f t="shared" si="12"/>
        <v>38.200000000000003</v>
      </c>
      <c r="I60">
        <v>77</v>
      </c>
      <c r="J60">
        <f t="shared" si="13"/>
        <v>38.5</v>
      </c>
      <c r="K60">
        <f t="shared" si="14"/>
        <v>76.7</v>
      </c>
    </row>
    <row r="61" spans="1:11" x14ac:dyDescent="0.25">
      <c r="A61" s="22" t="s">
        <v>118</v>
      </c>
      <c r="B61">
        <v>70</v>
      </c>
      <c r="C61">
        <f t="shared" si="10"/>
        <v>14</v>
      </c>
      <c r="D61">
        <v>83</v>
      </c>
      <c r="E61">
        <f t="shared" si="6"/>
        <v>16.600000000000001</v>
      </c>
      <c r="F61">
        <v>100</v>
      </c>
      <c r="G61">
        <f t="shared" si="11"/>
        <v>10</v>
      </c>
      <c r="H61">
        <f t="shared" si="12"/>
        <v>40.6</v>
      </c>
      <c r="I61">
        <v>94</v>
      </c>
      <c r="J61">
        <f t="shared" si="13"/>
        <v>47</v>
      </c>
      <c r="K61">
        <f t="shared" si="14"/>
        <v>87.6</v>
      </c>
    </row>
    <row r="62" spans="1:11" x14ac:dyDescent="0.25">
      <c r="A62" s="22" t="s">
        <v>119</v>
      </c>
      <c r="B62">
        <v>70</v>
      </c>
      <c r="C62">
        <f t="shared" si="10"/>
        <v>14</v>
      </c>
      <c r="D62">
        <v>83</v>
      </c>
      <c r="E62">
        <f t="shared" si="6"/>
        <v>16.600000000000001</v>
      </c>
      <c r="F62">
        <v>100</v>
      </c>
      <c r="G62">
        <f t="shared" si="11"/>
        <v>10</v>
      </c>
      <c r="H62">
        <f t="shared" si="12"/>
        <v>40.6</v>
      </c>
      <c r="I62">
        <v>80</v>
      </c>
      <c r="J62">
        <f t="shared" si="13"/>
        <v>40</v>
      </c>
      <c r="K62">
        <f t="shared" si="14"/>
        <v>80.599999999999994</v>
      </c>
    </row>
    <row r="63" spans="1:11" x14ac:dyDescent="0.25">
      <c r="A63" s="22" t="s">
        <v>120</v>
      </c>
      <c r="B63">
        <v>90</v>
      </c>
      <c r="C63">
        <f t="shared" si="10"/>
        <v>18</v>
      </c>
      <c r="D63">
        <v>96</v>
      </c>
      <c r="E63">
        <f t="shared" si="6"/>
        <v>19.200000000000003</v>
      </c>
      <c r="F63">
        <v>100</v>
      </c>
      <c r="G63">
        <f t="shared" si="11"/>
        <v>10</v>
      </c>
      <c r="H63">
        <f t="shared" si="12"/>
        <v>47.2</v>
      </c>
      <c r="I63">
        <v>95</v>
      </c>
      <c r="J63">
        <f t="shared" si="13"/>
        <v>47.5</v>
      </c>
      <c r="K63">
        <f t="shared" si="14"/>
        <v>94.7</v>
      </c>
    </row>
    <row r="64" spans="1:11" x14ac:dyDescent="0.25">
      <c r="A64" s="22" t="s">
        <v>121</v>
      </c>
      <c r="B64">
        <v>95</v>
      </c>
      <c r="C64">
        <f t="shared" si="10"/>
        <v>19</v>
      </c>
      <c r="D64">
        <v>100</v>
      </c>
      <c r="E64">
        <f t="shared" si="6"/>
        <v>20</v>
      </c>
      <c r="F64">
        <v>100</v>
      </c>
      <c r="G64">
        <f t="shared" si="11"/>
        <v>10</v>
      </c>
      <c r="H64">
        <f t="shared" si="12"/>
        <v>49</v>
      </c>
      <c r="I64">
        <v>98</v>
      </c>
      <c r="J64">
        <f t="shared" si="13"/>
        <v>49</v>
      </c>
      <c r="K64">
        <f t="shared" si="14"/>
        <v>98</v>
      </c>
    </row>
    <row r="65" spans="1:11" x14ac:dyDescent="0.25">
      <c r="A65" s="22" t="s">
        <v>122</v>
      </c>
      <c r="B65">
        <v>90</v>
      </c>
      <c r="C65">
        <f t="shared" si="10"/>
        <v>18</v>
      </c>
      <c r="D65">
        <v>91</v>
      </c>
      <c r="E65">
        <f t="shared" si="6"/>
        <v>18.2</v>
      </c>
      <c r="F65">
        <v>100</v>
      </c>
      <c r="G65">
        <f t="shared" si="11"/>
        <v>10</v>
      </c>
      <c r="H65">
        <f t="shared" si="12"/>
        <v>46.2</v>
      </c>
      <c r="I65">
        <v>90</v>
      </c>
      <c r="J65">
        <f t="shared" si="13"/>
        <v>45</v>
      </c>
      <c r="K65">
        <f t="shared" si="14"/>
        <v>91.2</v>
      </c>
    </row>
    <row r="66" spans="1:11" x14ac:dyDescent="0.25">
      <c r="A66" s="22" t="s">
        <v>123</v>
      </c>
      <c r="B66">
        <v>80</v>
      </c>
      <c r="C66">
        <f t="shared" si="10"/>
        <v>16</v>
      </c>
      <c r="D66">
        <v>86</v>
      </c>
      <c r="E66">
        <f t="shared" si="6"/>
        <v>17.2</v>
      </c>
      <c r="F66">
        <v>100</v>
      </c>
      <c r="G66">
        <f t="shared" si="11"/>
        <v>10</v>
      </c>
      <c r="H66">
        <f t="shared" si="12"/>
        <v>43.2</v>
      </c>
      <c r="I66">
        <v>89</v>
      </c>
      <c r="J66">
        <f t="shared" si="13"/>
        <v>44.5</v>
      </c>
      <c r="K66">
        <f t="shared" si="14"/>
        <v>87.7</v>
      </c>
    </row>
    <row r="67" spans="1:11" x14ac:dyDescent="0.25">
      <c r="A67" s="22" t="s">
        <v>124</v>
      </c>
      <c r="B67">
        <v>70</v>
      </c>
      <c r="C67">
        <f t="shared" si="10"/>
        <v>14</v>
      </c>
      <c r="D67">
        <v>81</v>
      </c>
      <c r="E67">
        <f t="shared" si="6"/>
        <v>16.2</v>
      </c>
      <c r="F67">
        <v>100</v>
      </c>
      <c r="G67">
        <f t="shared" si="11"/>
        <v>10</v>
      </c>
      <c r="H67">
        <f t="shared" si="12"/>
        <v>40.200000000000003</v>
      </c>
      <c r="I67">
        <v>96</v>
      </c>
      <c r="J67">
        <f t="shared" si="13"/>
        <v>48</v>
      </c>
      <c r="K67">
        <f t="shared" si="14"/>
        <v>88.2</v>
      </c>
    </row>
    <row r="68" spans="1:11" x14ac:dyDescent="0.25">
      <c r="A68" s="22" t="s">
        <v>125</v>
      </c>
      <c r="B68">
        <v>70</v>
      </c>
      <c r="C68">
        <f t="shared" si="10"/>
        <v>14</v>
      </c>
      <c r="D68">
        <v>91</v>
      </c>
      <c r="E68">
        <f t="shared" ref="E68:E80" si="15">D68*20%</f>
        <v>18.2</v>
      </c>
      <c r="F68">
        <v>100</v>
      </c>
      <c r="G68">
        <f t="shared" si="11"/>
        <v>10</v>
      </c>
      <c r="H68">
        <f t="shared" si="12"/>
        <v>42.2</v>
      </c>
      <c r="I68">
        <v>93</v>
      </c>
      <c r="J68">
        <f t="shared" si="13"/>
        <v>46.5</v>
      </c>
      <c r="K68">
        <f t="shared" si="14"/>
        <v>88.7</v>
      </c>
    </row>
    <row r="69" spans="1:11" x14ac:dyDescent="0.25">
      <c r="A69" s="22" t="s">
        <v>126</v>
      </c>
      <c r="B69">
        <v>80</v>
      </c>
      <c r="C69">
        <f t="shared" si="10"/>
        <v>16</v>
      </c>
      <c r="D69">
        <v>91</v>
      </c>
      <c r="E69">
        <f t="shared" si="15"/>
        <v>18.2</v>
      </c>
      <c r="F69">
        <v>100</v>
      </c>
      <c r="G69">
        <f t="shared" si="11"/>
        <v>10</v>
      </c>
      <c r="H69">
        <f t="shared" si="12"/>
        <v>44.2</v>
      </c>
      <c r="I69">
        <v>91</v>
      </c>
      <c r="J69">
        <f t="shared" si="13"/>
        <v>45.5</v>
      </c>
      <c r="K69">
        <f t="shared" si="14"/>
        <v>89.7</v>
      </c>
    </row>
    <row r="70" spans="1:11" x14ac:dyDescent="0.25">
      <c r="A70" s="22" t="s">
        <v>127</v>
      </c>
      <c r="B70">
        <v>100</v>
      </c>
      <c r="C70">
        <f t="shared" si="10"/>
        <v>20</v>
      </c>
      <c r="D70">
        <v>100</v>
      </c>
      <c r="E70">
        <f t="shared" si="15"/>
        <v>20</v>
      </c>
      <c r="F70">
        <v>100</v>
      </c>
      <c r="G70">
        <f t="shared" si="11"/>
        <v>10</v>
      </c>
      <c r="H70">
        <f t="shared" si="12"/>
        <v>50</v>
      </c>
      <c r="I70">
        <v>96</v>
      </c>
      <c r="J70">
        <f t="shared" si="13"/>
        <v>48</v>
      </c>
      <c r="K70">
        <f t="shared" si="14"/>
        <v>98</v>
      </c>
    </row>
    <row r="71" spans="1:11" x14ac:dyDescent="0.25">
      <c r="A71" s="22" t="s">
        <v>128</v>
      </c>
      <c r="B71">
        <v>80</v>
      </c>
      <c r="C71">
        <f t="shared" si="10"/>
        <v>16</v>
      </c>
      <c r="D71">
        <v>87</v>
      </c>
      <c r="E71">
        <f t="shared" si="15"/>
        <v>17.400000000000002</v>
      </c>
      <c r="F71">
        <v>100</v>
      </c>
      <c r="G71">
        <f t="shared" si="11"/>
        <v>10</v>
      </c>
      <c r="H71">
        <f t="shared" si="12"/>
        <v>43.400000000000006</v>
      </c>
      <c r="I71">
        <v>92</v>
      </c>
      <c r="J71">
        <f t="shared" si="13"/>
        <v>46</v>
      </c>
      <c r="K71">
        <f t="shared" si="14"/>
        <v>89.4</v>
      </c>
    </row>
    <row r="72" spans="1:11" x14ac:dyDescent="0.25">
      <c r="A72" s="22" t="s">
        <v>129</v>
      </c>
      <c r="B72">
        <v>70</v>
      </c>
      <c r="C72">
        <f t="shared" si="10"/>
        <v>14</v>
      </c>
      <c r="D72">
        <v>64</v>
      </c>
      <c r="E72">
        <f t="shared" si="15"/>
        <v>12.8</v>
      </c>
      <c r="F72">
        <v>100</v>
      </c>
      <c r="G72">
        <f t="shared" si="11"/>
        <v>10</v>
      </c>
      <c r="H72">
        <f t="shared" si="12"/>
        <v>36.799999999999997</v>
      </c>
      <c r="I72">
        <v>70</v>
      </c>
      <c r="J72">
        <f t="shared" si="13"/>
        <v>35</v>
      </c>
      <c r="K72">
        <f t="shared" si="14"/>
        <v>71.8</v>
      </c>
    </row>
    <row r="73" spans="1:11" x14ac:dyDescent="0.25">
      <c r="A73" s="22" t="s">
        <v>130</v>
      </c>
      <c r="B73">
        <v>75</v>
      </c>
      <c r="C73">
        <f t="shared" si="10"/>
        <v>15</v>
      </c>
      <c r="D73">
        <v>76</v>
      </c>
      <c r="E73">
        <f t="shared" si="15"/>
        <v>15.200000000000001</v>
      </c>
      <c r="F73">
        <v>100</v>
      </c>
      <c r="G73">
        <f t="shared" si="11"/>
        <v>10</v>
      </c>
      <c r="H73">
        <f t="shared" si="12"/>
        <v>40.200000000000003</v>
      </c>
      <c r="I73">
        <v>87</v>
      </c>
      <c r="J73">
        <f t="shared" si="13"/>
        <v>43.5</v>
      </c>
      <c r="K73">
        <f t="shared" si="14"/>
        <v>83.7</v>
      </c>
    </row>
    <row r="74" spans="1:11" x14ac:dyDescent="0.25">
      <c r="A74" s="22" t="s">
        <v>131</v>
      </c>
      <c r="B74">
        <v>70</v>
      </c>
      <c r="C74">
        <f t="shared" si="10"/>
        <v>14</v>
      </c>
      <c r="D74">
        <v>82</v>
      </c>
      <c r="E74">
        <f t="shared" si="15"/>
        <v>16.400000000000002</v>
      </c>
      <c r="F74">
        <v>100</v>
      </c>
      <c r="G74">
        <f t="shared" si="11"/>
        <v>10</v>
      </c>
      <c r="H74">
        <f t="shared" si="12"/>
        <v>40.400000000000006</v>
      </c>
      <c r="I74">
        <v>91</v>
      </c>
      <c r="J74">
        <f t="shared" si="13"/>
        <v>45.5</v>
      </c>
      <c r="K74">
        <f t="shared" si="14"/>
        <v>85.9</v>
      </c>
    </row>
    <row r="75" spans="1:11" x14ac:dyDescent="0.25">
      <c r="A75" s="22" t="s">
        <v>132</v>
      </c>
      <c r="B75">
        <v>100</v>
      </c>
      <c r="C75">
        <f t="shared" si="10"/>
        <v>20</v>
      </c>
      <c r="D75">
        <v>90</v>
      </c>
      <c r="E75">
        <f t="shared" si="15"/>
        <v>18</v>
      </c>
      <c r="F75">
        <v>100</v>
      </c>
      <c r="G75">
        <f t="shared" si="11"/>
        <v>10</v>
      </c>
      <c r="H75">
        <f t="shared" si="12"/>
        <v>48</v>
      </c>
      <c r="I75">
        <v>94</v>
      </c>
      <c r="J75">
        <f t="shared" si="13"/>
        <v>47</v>
      </c>
      <c r="K75">
        <f t="shared" si="14"/>
        <v>95</v>
      </c>
    </row>
    <row r="76" spans="1:11" x14ac:dyDescent="0.25">
      <c r="A76" s="22" t="s">
        <v>133</v>
      </c>
      <c r="B76">
        <v>80</v>
      </c>
      <c r="C76">
        <f t="shared" si="10"/>
        <v>16</v>
      </c>
      <c r="D76">
        <v>91</v>
      </c>
      <c r="E76">
        <f t="shared" si="15"/>
        <v>18.2</v>
      </c>
      <c r="F76">
        <v>100</v>
      </c>
      <c r="G76">
        <f t="shared" si="11"/>
        <v>10</v>
      </c>
      <c r="H76">
        <f t="shared" si="12"/>
        <v>44.2</v>
      </c>
      <c r="I76">
        <v>97</v>
      </c>
      <c r="J76">
        <f t="shared" si="13"/>
        <v>48.5</v>
      </c>
      <c r="K76">
        <f t="shared" si="14"/>
        <v>92.7</v>
      </c>
    </row>
    <row r="77" spans="1:11" x14ac:dyDescent="0.25">
      <c r="A77" s="22" t="s">
        <v>134</v>
      </c>
      <c r="B77">
        <v>100</v>
      </c>
      <c r="C77">
        <f t="shared" si="10"/>
        <v>20</v>
      </c>
      <c r="D77">
        <v>100</v>
      </c>
      <c r="E77">
        <f t="shared" si="15"/>
        <v>20</v>
      </c>
      <c r="F77">
        <v>100</v>
      </c>
      <c r="G77">
        <f t="shared" si="11"/>
        <v>10</v>
      </c>
      <c r="H77">
        <f t="shared" si="12"/>
        <v>50</v>
      </c>
      <c r="I77">
        <v>98</v>
      </c>
      <c r="J77">
        <f t="shared" si="13"/>
        <v>49</v>
      </c>
      <c r="K77">
        <f t="shared" si="14"/>
        <v>99</v>
      </c>
    </row>
    <row r="78" spans="1:11" x14ac:dyDescent="0.25">
      <c r="A78" s="22" t="s">
        <v>135</v>
      </c>
      <c r="B78">
        <v>85</v>
      </c>
      <c r="C78">
        <f t="shared" si="10"/>
        <v>17</v>
      </c>
      <c r="D78">
        <v>96</v>
      </c>
      <c r="E78">
        <f t="shared" si="15"/>
        <v>19.200000000000003</v>
      </c>
      <c r="F78">
        <v>100</v>
      </c>
      <c r="G78">
        <f t="shared" si="11"/>
        <v>10</v>
      </c>
      <c r="H78">
        <f t="shared" si="12"/>
        <v>46.2</v>
      </c>
      <c r="I78">
        <v>98</v>
      </c>
      <c r="J78">
        <f t="shared" si="13"/>
        <v>49</v>
      </c>
      <c r="K78">
        <f t="shared" si="14"/>
        <v>95.2</v>
      </c>
    </row>
    <row r="79" spans="1:11" x14ac:dyDescent="0.25">
      <c r="A79" s="22" t="s">
        <v>136</v>
      </c>
      <c r="B79">
        <v>70</v>
      </c>
      <c r="C79">
        <f t="shared" si="10"/>
        <v>14</v>
      </c>
      <c r="D79">
        <v>92</v>
      </c>
      <c r="E79">
        <f t="shared" si="15"/>
        <v>18.400000000000002</v>
      </c>
      <c r="F79">
        <v>100</v>
      </c>
      <c r="G79">
        <f t="shared" si="11"/>
        <v>10</v>
      </c>
      <c r="H79">
        <f t="shared" si="12"/>
        <v>42.400000000000006</v>
      </c>
      <c r="I79">
        <v>71</v>
      </c>
      <c r="J79">
        <f t="shared" si="13"/>
        <v>35.5</v>
      </c>
      <c r="K79">
        <f t="shared" si="14"/>
        <v>77.900000000000006</v>
      </c>
    </row>
    <row r="80" spans="1:11" x14ac:dyDescent="0.25">
      <c r="A80" s="22" t="s">
        <v>137</v>
      </c>
      <c r="B80">
        <v>100</v>
      </c>
      <c r="C80">
        <f t="shared" si="10"/>
        <v>20</v>
      </c>
      <c r="D80">
        <v>100</v>
      </c>
      <c r="E80">
        <f t="shared" si="15"/>
        <v>20</v>
      </c>
      <c r="F80">
        <v>100</v>
      </c>
      <c r="G80">
        <f t="shared" si="11"/>
        <v>10</v>
      </c>
      <c r="H80">
        <f t="shared" si="12"/>
        <v>50</v>
      </c>
      <c r="I80">
        <v>95</v>
      </c>
      <c r="J80">
        <f t="shared" si="13"/>
        <v>47.5</v>
      </c>
      <c r="K80">
        <f t="shared" si="14"/>
        <v>97.5</v>
      </c>
    </row>
  </sheetData>
  <mergeCells count="1">
    <mergeCell ref="D1:J1"/>
  </mergeCells>
  <pageMargins left="0.7" right="0.7" top="0.75" bottom="0.75" header="0.3" footer="0.3"/>
  <ignoredErrors>
    <ignoredError sqref="D30:D54" formula="1"/>
  </ignoredErrors>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CE69D-39F3-45B0-B8A3-49D4F7D47B38}">
  <sheetPr codeName="Sheet16"/>
  <dimension ref="A1:P80"/>
  <sheetViews>
    <sheetView topLeftCell="A73" workbookViewId="0">
      <selection activeCell="L93" sqref="L93"/>
    </sheetView>
  </sheetViews>
  <sheetFormatPr defaultRowHeight="15" x14ac:dyDescent="0.25"/>
  <cols>
    <col min="1" max="1" width="29.42578125" bestFit="1" customWidth="1"/>
    <col min="3" max="3" width="10.7109375" customWidth="1"/>
    <col min="4" max="4" width="12.42578125" customWidth="1"/>
    <col min="5" max="5" width="17.5703125" customWidth="1"/>
    <col min="6" max="6" width="17.140625" customWidth="1"/>
    <col min="7" max="7" width="15.5703125" customWidth="1"/>
    <col min="8" max="8" width="9.85546875" customWidth="1"/>
    <col min="9" max="9" width="11.85546875" customWidth="1"/>
    <col min="10" max="10" width="17.85546875" customWidth="1"/>
    <col min="16" max="16" width="15.140625" customWidth="1"/>
  </cols>
  <sheetData>
    <row r="1" spans="1:16" x14ac:dyDescent="0.25">
      <c r="D1" s="68"/>
      <c r="E1" s="68"/>
      <c r="F1" s="68"/>
      <c r="G1" s="68"/>
      <c r="H1" s="68"/>
      <c r="I1" s="68"/>
      <c r="J1" s="68"/>
    </row>
    <row r="2" spans="1:16" ht="15.75" x14ac:dyDescent="0.25">
      <c r="A2" s="5" t="s">
        <v>0</v>
      </c>
      <c r="B2" s="5" t="s">
        <v>1</v>
      </c>
      <c r="C2" s="5" t="s">
        <v>48</v>
      </c>
      <c r="D2" s="5" t="s">
        <v>3</v>
      </c>
      <c r="E2" s="5" t="s">
        <v>49</v>
      </c>
      <c r="F2" s="5" t="s">
        <v>50</v>
      </c>
      <c r="G2" s="5" t="s">
        <v>51</v>
      </c>
      <c r="H2" s="5" t="s">
        <v>52</v>
      </c>
      <c r="I2" s="5" t="s">
        <v>2</v>
      </c>
      <c r="J2" s="5" t="s">
        <v>4</v>
      </c>
      <c r="K2" s="5" t="s">
        <v>5</v>
      </c>
    </row>
    <row r="3" spans="1:16" ht="15.75" x14ac:dyDescent="0.25">
      <c r="A3" s="5" t="s">
        <v>20</v>
      </c>
      <c r="B3" s="5">
        <v>100</v>
      </c>
      <c r="C3" s="5">
        <f>B3*20%</f>
        <v>20</v>
      </c>
      <c r="D3" s="5">
        <v>100</v>
      </c>
      <c r="E3" s="5">
        <f>D3*20%</f>
        <v>20</v>
      </c>
      <c r="F3" s="5">
        <v>100</v>
      </c>
      <c r="G3" s="5">
        <f>F3*10%</f>
        <v>10</v>
      </c>
      <c r="H3" s="5">
        <f>C3+E3+G3</f>
        <v>50</v>
      </c>
      <c r="I3" s="5">
        <v>86</v>
      </c>
      <c r="J3" s="5">
        <f>I3*50%</f>
        <v>43</v>
      </c>
      <c r="K3" s="5">
        <f>C3+G3+E3+J3</f>
        <v>93</v>
      </c>
      <c r="N3" t="s">
        <v>36</v>
      </c>
      <c r="O3" t="s">
        <v>37</v>
      </c>
      <c r="P3" t="s">
        <v>38</v>
      </c>
    </row>
    <row r="4" spans="1:16" ht="15.75" x14ac:dyDescent="0.25">
      <c r="A4" s="5" t="s">
        <v>18</v>
      </c>
      <c r="B4" s="5">
        <v>70</v>
      </c>
      <c r="C4" s="5">
        <f t="shared" ref="C4:C29" si="0">B4*20%</f>
        <v>14</v>
      </c>
      <c r="D4" s="5">
        <v>82</v>
      </c>
      <c r="E4" s="5">
        <f t="shared" ref="E4:E29" si="1">D4*20%</f>
        <v>16.400000000000002</v>
      </c>
      <c r="F4" s="5">
        <v>100</v>
      </c>
      <c r="G4" s="5">
        <f>F4*10%</f>
        <v>10</v>
      </c>
      <c r="H4" s="5">
        <f t="shared" ref="H4:H29" si="2">C4+E4+G4</f>
        <v>40.400000000000006</v>
      </c>
      <c r="I4" s="5">
        <v>70</v>
      </c>
      <c r="J4" s="5">
        <f>I4*50%</f>
        <v>35</v>
      </c>
      <c r="K4" s="5">
        <f t="shared" ref="K4:K29" si="3">C4+G4+E4+J4</f>
        <v>75.400000000000006</v>
      </c>
      <c r="M4" t="s">
        <v>33</v>
      </c>
      <c r="N4">
        <f ca="1">AVERAGE(B3:B80)</f>
        <v>86.102564102564102</v>
      </c>
      <c r="O4">
        <f ca="1">AVERAGE(D3:D80)</f>
        <v>84.769230769230774</v>
      </c>
      <c r="P4">
        <f ca="1">AVERAGE(I3:I80)</f>
        <v>85.833333333333329</v>
      </c>
    </row>
    <row r="5" spans="1:16" ht="15.75" x14ac:dyDescent="0.25">
      <c r="A5" s="5" t="s">
        <v>32</v>
      </c>
      <c r="B5" s="5">
        <v>100</v>
      </c>
      <c r="C5" s="5">
        <f t="shared" si="0"/>
        <v>20</v>
      </c>
      <c r="D5" s="5">
        <v>89</v>
      </c>
      <c r="E5" s="5">
        <f t="shared" si="1"/>
        <v>17.8</v>
      </c>
      <c r="F5" s="5">
        <v>100</v>
      </c>
      <c r="G5" s="5">
        <f t="shared" ref="G5:G29" si="4">F5*10%</f>
        <v>10</v>
      </c>
      <c r="H5" s="5">
        <f t="shared" si="2"/>
        <v>47.8</v>
      </c>
      <c r="I5" s="5">
        <v>90</v>
      </c>
      <c r="J5" s="5">
        <f t="shared" ref="J5:J29" si="5">I5*50%</f>
        <v>45</v>
      </c>
      <c r="K5" s="5">
        <f t="shared" si="3"/>
        <v>92.8</v>
      </c>
      <c r="M5" t="s">
        <v>34</v>
      </c>
      <c r="N5">
        <f ca="1">MAX(B3:B80)</f>
        <v>100</v>
      </c>
      <c r="O5">
        <f ca="1">MAX(D3:D80)</f>
        <v>100</v>
      </c>
      <c r="P5">
        <f ca="1">MAX(I3:I80)</f>
        <v>100</v>
      </c>
    </row>
    <row r="6" spans="1:16" ht="15.75" x14ac:dyDescent="0.25">
      <c r="A6" s="5" t="s">
        <v>7</v>
      </c>
      <c r="B6" s="5">
        <v>100</v>
      </c>
      <c r="C6" s="5">
        <f t="shared" si="0"/>
        <v>20</v>
      </c>
      <c r="D6" s="5">
        <v>96</v>
      </c>
      <c r="E6" s="5">
        <f t="shared" si="1"/>
        <v>19.200000000000003</v>
      </c>
      <c r="F6" s="5">
        <v>100</v>
      </c>
      <c r="G6" s="5">
        <f t="shared" si="4"/>
        <v>10</v>
      </c>
      <c r="H6" s="5">
        <f t="shared" si="2"/>
        <v>49.2</v>
      </c>
      <c r="I6" s="5">
        <v>70</v>
      </c>
      <c r="J6" s="5">
        <f t="shared" si="5"/>
        <v>35</v>
      </c>
      <c r="K6" s="5">
        <f t="shared" si="3"/>
        <v>84.2</v>
      </c>
      <c r="M6" t="s">
        <v>35</v>
      </c>
      <c r="N6">
        <f ca="1">MIN(B3:B80)</f>
        <v>20</v>
      </c>
      <c r="O6">
        <f ca="1">MIN(D3:D80)</f>
        <v>46</v>
      </c>
      <c r="P6">
        <f ca="1">MIN(J3:J80)</f>
        <v>30</v>
      </c>
    </row>
    <row r="7" spans="1:16" ht="15.75" x14ac:dyDescent="0.25">
      <c r="A7" s="5" t="s">
        <v>19</v>
      </c>
      <c r="B7" s="5">
        <v>80</v>
      </c>
      <c r="C7" s="5">
        <f t="shared" si="0"/>
        <v>16</v>
      </c>
      <c r="D7" s="5">
        <v>78</v>
      </c>
      <c r="E7" s="5">
        <f t="shared" si="1"/>
        <v>15.600000000000001</v>
      </c>
      <c r="F7" s="5">
        <v>100</v>
      </c>
      <c r="G7" s="5">
        <f t="shared" si="4"/>
        <v>10</v>
      </c>
      <c r="H7" s="5">
        <f t="shared" si="2"/>
        <v>41.6</v>
      </c>
      <c r="I7" s="5">
        <v>86</v>
      </c>
      <c r="J7" s="5">
        <f t="shared" si="5"/>
        <v>43</v>
      </c>
      <c r="K7" s="5">
        <f t="shared" si="3"/>
        <v>84.6</v>
      </c>
    </row>
    <row r="8" spans="1:16" ht="15.75" x14ac:dyDescent="0.25">
      <c r="A8" s="5" t="s">
        <v>9</v>
      </c>
      <c r="B8" s="5">
        <v>100</v>
      </c>
      <c r="C8" s="5">
        <f t="shared" si="0"/>
        <v>20</v>
      </c>
      <c r="D8" s="5">
        <v>100</v>
      </c>
      <c r="E8" s="5">
        <f t="shared" si="1"/>
        <v>20</v>
      </c>
      <c r="F8" s="5">
        <v>100</v>
      </c>
      <c r="G8" s="5">
        <f t="shared" si="4"/>
        <v>10</v>
      </c>
      <c r="H8" s="5">
        <f t="shared" si="2"/>
        <v>50</v>
      </c>
      <c r="I8" s="5">
        <v>86</v>
      </c>
      <c r="J8" s="5">
        <f t="shared" si="5"/>
        <v>43</v>
      </c>
      <c r="K8" s="5">
        <f t="shared" si="3"/>
        <v>93</v>
      </c>
    </row>
    <row r="9" spans="1:16" ht="15.75" x14ac:dyDescent="0.25">
      <c r="A9" s="5" t="s">
        <v>21</v>
      </c>
      <c r="B9" s="5">
        <v>100</v>
      </c>
      <c r="C9" s="5">
        <f t="shared" si="0"/>
        <v>20</v>
      </c>
      <c r="D9" s="5">
        <v>85</v>
      </c>
      <c r="E9" s="5">
        <f t="shared" si="1"/>
        <v>17</v>
      </c>
      <c r="F9" s="5">
        <v>100</v>
      </c>
      <c r="G9" s="5">
        <f t="shared" si="4"/>
        <v>10</v>
      </c>
      <c r="H9" s="5">
        <f t="shared" si="2"/>
        <v>47</v>
      </c>
      <c r="I9" s="5">
        <v>96</v>
      </c>
      <c r="J9" s="5">
        <f t="shared" si="5"/>
        <v>48</v>
      </c>
      <c r="K9" s="5">
        <f t="shared" si="3"/>
        <v>95</v>
      </c>
    </row>
    <row r="10" spans="1:16" ht="15.75" x14ac:dyDescent="0.25">
      <c r="A10" s="5" t="s">
        <v>8</v>
      </c>
      <c r="B10" s="5">
        <v>100</v>
      </c>
      <c r="C10" s="5">
        <f t="shared" si="0"/>
        <v>20</v>
      </c>
      <c r="D10" s="5">
        <v>91</v>
      </c>
      <c r="E10" s="5">
        <f t="shared" si="1"/>
        <v>18.2</v>
      </c>
      <c r="F10" s="5">
        <v>100</v>
      </c>
      <c r="G10" s="5">
        <f t="shared" si="4"/>
        <v>10</v>
      </c>
      <c r="H10" s="5">
        <f t="shared" si="2"/>
        <v>48.2</v>
      </c>
      <c r="I10" s="5">
        <v>76</v>
      </c>
      <c r="J10" s="5">
        <f t="shared" si="5"/>
        <v>38</v>
      </c>
      <c r="K10" s="5">
        <f t="shared" si="3"/>
        <v>86.2</v>
      </c>
    </row>
    <row r="11" spans="1:16" ht="15.75" x14ac:dyDescent="0.25">
      <c r="A11" s="5" t="s">
        <v>10</v>
      </c>
      <c r="B11" s="5">
        <v>100</v>
      </c>
      <c r="C11" s="5">
        <f t="shared" si="0"/>
        <v>20</v>
      </c>
      <c r="D11" s="5">
        <v>83</v>
      </c>
      <c r="E11" s="5">
        <f t="shared" si="1"/>
        <v>16.600000000000001</v>
      </c>
      <c r="F11" s="5">
        <v>100</v>
      </c>
      <c r="G11" s="5">
        <f t="shared" si="4"/>
        <v>10</v>
      </c>
      <c r="H11" s="5">
        <f t="shared" si="2"/>
        <v>46.6</v>
      </c>
      <c r="I11" s="5">
        <v>94</v>
      </c>
      <c r="J11" s="5">
        <f t="shared" si="5"/>
        <v>47</v>
      </c>
      <c r="K11" s="5">
        <f t="shared" si="3"/>
        <v>93.6</v>
      </c>
    </row>
    <row r="12" spans="1:16" ht="15.75" x14ac:dyDescent="0.25">
      <c r="A12" s="5" t="s">
        <v>6</v>
      </c>
      <c r="B12" s="5">
        <v>70</v>
      </c>
      <c r="C12" s="5">
        <f t="shared" si="0"/>
        <v>14</v>
      </c>
      <c r="D12" s="5">
        <v>79</v>
      </c>
      <c r="E12" s="5">
        <f t="shared" si="1"/>
        <v>15.8</v>
      </c>
      <c r="F12" s="5">
        <v>100</v>
      </c>
      <c r="G12" s="5">
        <f t="shared" si="4"/>
        <v>10</v>
      </c>
      <c r="H12" s="5">
        <f t="shared" si="2"/>
        <v>39.799999999999997</v>
      </c>
      <c r="I12" s="5">
        <v>73</v>
      </c>
      <c r="J12" s="5">
        <f t="shared" si="5"/>
        <v>36.5</v>
      </c>
      <c r="K12" s="5">
        <f t="shared" si="3"/>
        <v>76.3</v>
      </c>
    </row>
    <row r="13" spans="1:16" ht="15.75" x14ac:dyDescent="0.25">
      <c r="A13" s="5" t="s">
        <v>17</v>
      </c>
      <c r="B13" s="5">
        <v>50</v>
      </c>
      <c r="C13" s="5">
        <f t="shared" si="0"/>
        <v>10</v>
      </c>
      <c r="D13" s="5">
        <v>57</v>
      </c>
      <c r="E13" s="5">
        <f t="shared" si="1"/>
        <v>11.4</v>
      </c>
      <c r="F13" s="5">
        <v>100</v>
      </c>
      <c r="G13" s="5">
        <f t="shared" si="4"/>
        <v>10</v>
      </c>
      <c r="H13" s="5">
        <f t="shared" si="2"/>
        <v>31.4</v>
      </c>
      <c r="I13" s="5">
        <v>71</v>
      </c>
      <c r="J13" s="5">
        <f t="shared" si="5"/>
        <v>35.5</v>
      </c>
      <c r="K13" s="5">
        <f t="shared" si="3"/>
        <v>66.900000000000006</v>
      </c>
    </row>
    <row r="14" spans="1:16" ht="15.75" x14ac:dyDescent="0.25">
      <c r="A14" s="5" t="s">
        <v>22</v>
      </c>
      <c r="B14" s="5">
        <v>50</v>
      </c>
      <c r="C14" s="5">
        <f t="shared" si="0"/>
        <v>10</v>
      </c>
      <c r="D14" s="5">
        <v>100</v>
      </c>
      <c r="E14" s="5">
        <f t="shared" si="1"/>
        <v>20</v>
      </c>
      <c r="F14" s="5">
        <v>100</v>
      </c>
      <c r="G14" s="5">
        <f t="shared" si="4"/>
        <v>10</v>
      </c>
      <c r="H14" s="5">
        <f t="shared" si="2"/>
        <v>40</v>
      </c>
      <c r="I14" s="5">
        <v>87</v>
      </c>
      <c r="J14" s="5">
        <f t="shared" si="5"/>
        <v>43.5</v>
      </c>
      <c r="K14" s="5">
        <f t="shared" si="3"/>
        <v>83.5</v>
      </c>
    </row>
    <row r="15" spans="1:16" ht="15.75" x14ac:dyDescent="0.25">
      <c r="A15" s="5" t="s">
        <v>11</v>
      </c>
      <c r="B15" s="5">
        <v>90</v>
      </c>
      <c r="C15" s="5">
        <f t="shared" si="0"/>
        <v>18</v>
      </c>
      <c r="D15" s="5">
        <v>78</v>
      </c>
      <c r="E15" s="5">
        <f t="shared" si="1"/>
        <v>15.600000000000001</v>
      </c>
      <c r="F15" s="5">
        <v>100</v>
      </c>
      <c r="G15" s="5">
        <f t="shared" si="4"/>
        <v>10</v>
      </c>
      <c r="H15" s="5">
        <f t="shared" si="2"/>
        <v>43.6</v>
      </c>
      <c r="I15" s="5">
        <v>87</v>
      </c>
      <c r="J15" s="5">
        <f t="shared" si="5"/>
        <v>43.5</v>
      </c>
      <c r="K15" s="5">
        <f t="shared" si="3"/>
        <v>87.1</v>
      </c>
    </row>
    <row r="16" spans="1:16" ht="15.75" x14ac:dyDescent="0.25">
      <c r="A16" s="5" t="s">
        <v>23</v>
      </c>
      <c r="B16" s="5">
        <v>80</v>
      </c>
      <c r="C16" s="5">
        <f t="shared" si="0"/>
        <v>16</v>
      </c>
      <c r="D16" s="5">
        <v>84</v>
      </c>
      <c r="E16" s="5">
        <f t="shared" si="1"/>
        <v>16.8</v>
      </c>
      <c r="F16" s="5">
        <v>100</v>
      </c>
      <c r="G16" s="5">
        <f t="shared" si="4"/>
        <v>10</v>
      </c>
      <c r="H16" s="5">
        <f t="shared" si="2"/>
        <v>42.8</v>
      </c>
      <c r="I16" s="5">
        <v>90</v>
      </c>
      <c r="J16" s="5">
        <f t="shared" si="5"/>
        <v>45</v>
      </c>
      <c r="K16" s="5">
        <f t="shared" si="3"/>
        <v>87.8</v>
      </c>
    </row>
    <row r="17" spans="1:11" ht="15.75" x14ac:dyDescent="0.25">
      <c r="A17" s="5" t="s">
        <v>12</v>
      </c>
      <c r="B17" s="5">
        <v>80</v>
      </c>
      <c r="C17" s="5">
        <f t="shared" si="0"/>
        <v>16</v>
      </c>
      <c r="D17" s="5">
        <v>86</v>
      </c>
      <c r="E17" s="5">
        <f t="shared" si="1"/>
        <v>17.2</v>
      </c>
      <c r="F17" s="5">
        <v>100</v>
      </c>
      <c r="G17" s="5">
        <f t="shared" si="4"/>
        <v>10</v>
      </c>
      <c r="H17" s="5">
        <f t="shared" si="2"/>
        <v>43.2</v>
      </c>
      <c r="I17" s="5">
        <v>70</v>
      </c>
      <c r="J17" s="5">
        <f t="shared" si="5"/>
        <v>35</v>
      </c>
      <c r="K17" s="5">
        <f t="shared" si="3"/>
        <v>78.2</v>
      </c>
    </row>
    <row r="18" spans="1:11" ht="15.75" x14ac:dyDescent="0.25">
      <c r="A18" s="5" t="s">
        <v>13</v>
      </c>
      <c r="B18" s="5">
        <v>80</v>
      </c>
      <c r="C18" s="5">
        <f t="shared" si="0"/>
        <v>16</v>
      </c>
      <c r="D18" s="5">
        <v>61</v>
      </c>
      <c r="E18" s="5">
        <f t="shared" si="1"/>
        <v>12.200000000000001</v>
      </c>
      <c r="F18" s="5">
        <v>100</v>
      </c>
      <c r="G18" s="5">
        <f t="shared" si="4"/>
        <v>10</v>
      </c>
      <c r="H18" s="5">
        <f t="shared" si="2"/>
        <v>38.200000000000003</v>
      </c>
      <c r="I18" s="5">
        <v>73</v>
      </c>
      <c r="J18" s="5">
        <f t="shared" si="5"/>
        <v>36.5</v>
      </c>
      <c r="K18" s="5">
        <f t="shared" si="3"/>
        <v>74.7</v>
      </c>
    </row>
    <row r="19" spans="1:11" ht="15.75" x14ac:dyDescent="0.25">
      <c r="A19" s="5" t="s">
        <v>27</v>
      </c>
      <c r="B19" s="5">
        <v>60</v>
      </c>
      <c r="C19" s="5">
        <f t="shared" si="0"/>
        <v>12</v>
      </c>
      <c r="D19" s="5">
        <v>76</v>
      </c>
      <c r="E19" s="5">
        <f t="shared" si="1"/>
        <v>15.200000000000001</v>
      </c>
      <c r="F19" s="5">
        <v>100</v>
      </c>
      <c r="G19" s="5">
        <f t="shared" si="4"/>
        <v>10</v>
      </c>
      <c r="H19" s="5">
        <f t="shared" si="2"/>
        <v>37.200000000000003</v>
      </c>
      <c r="I19" s="5">
        <v>70</v>
      </c>
      <c r="J19" s="5">
        <f t="shared" si="5"/>
        <v>35</v>
      </c>
      <c r="K19" s="5">
        <f t="shared" si="3"/>
        <v>72.2</v>
      </c>
    </row>
    <row r="20" spans="1:11" ht="15.75" x14ac:dyDescent="0.25">
      <c r="A20" s="5" t="s">
        <v>24</v>
      </c>
      <c r="B20" s="5">
        <v>90</v>
      </c>
      <c r="C20" s="5">
        <f t="shared" si="0"/>
        <v>18</v>
      </c>
      <c r="D20" s="5">
        <v>85</v>
      </c>
      <c r="E20" s="5">
        <f t="shared" si="1"/>
        <v>17</v>
      </c>
      <c r="F20" s="5">
        <v>100</v>
      </c>
      <c r="G20" s="5">
        <f t="shared" si="4"/>
        <v>10</v>
      </c>
      <c r="H20" s="5">
        <f t="shared" si="2"/>
        <v>45</v>
      </c>
      <c r="I20" s="5">
        <v>80</v>
      </c>
      <c r="J20" s="5">
        <f t="shared" si="5"/>
        <v>40</v>
      </c>
      <c r="K20" s="5">
        <f t="shared" si="3"/>
        <v>85</v>
      </c>
    </row>
    <row r="21" spans="1:11" ht="15.75" x14ac:dyDescent="0.25">
      <c r="A21" s="5" t="s">
        <v>26</v>
      </c>
      <c r="B21" s="5">
        <v>80</v>
      </c>
      <c r="C21" s="5">
        <f t="shared" si="0"/>
        <v>16</v>
      </c>
      <c r="D21" s="5">
        <v>96</v>
      </c>
      <c r="E21" s="5">
        <f t="shared" si="1"/>
        <v>19.200000000000003</v>
      </c>
      <c r="F21" s="5">
        <v>100</v>
      </c>
      <c r="G21" s="5">
        <f t="shared" si="4"/>
        <v>10</v>
      </c>
      <c r="H21" s="5">
        <f t="shared" si="2"/>
        <v>45.2</v>
      </c>
      <c r="I21" s="5">
        <v>89</v>
      </c>
      <c r="J21" s="5">
        <f t="shared" si="5"/>
        <v>44.5</v>
      </c>
      <c r="K21" s="5">
        <f t="shared" si="3"/>
        <v>89.7</v>
      </c>
    </row>
    <row r="22" spans="1:11" ht="15.75" x14ac:dyDescent="0.25">
      <c r="A22" s="5" t="s">
        <v>28</v>
      </c>
      <c r="B22" s="5">
        <v>50</v>
      </c>
      <c r="C22" s="5">
        <f t="shared" si="0"/>
        <v>10</v>
      </c>
      <c r="D22" s="5">
        <v>59</v>
      </c>
      <c r="E22" s="5">
        <f t="shared" si="1"/>
        <v>11.8</v>
      </c>
      <c r="F22" s="5">
        <v>100</v>
      </c>
      <c r="G22" s="5">
        <f t="shared" si="4"/>
        <v>10</v>
      </c>
      <c r="H22" s="5">
        <f t="shared" si="2"/>
        <v>31.8</v>
      </c>
      <c r="I22" s="5">
        <v>74</v>
      </c>
      <c r="J22" s="5">
        <f t="shared" si="5"/>
        <v>37</v>
      </c>
      <c r="K22" s="5">
        <f t="shared" si="3"/>
        <v>68.8</v>
      </c>
    </row>
    <row r="23" spans="1:11" ht="15.75" x14ac:dyDescent="0.25">
      <c r="A23" s="5" t="s">
        <v>25</v>
      </c>
      <c r="B23" s="5">
        <v>80</v>
      </c>
      <c r="C23" s="5">
        <f t="shared" si="0"/>
        <v>16</v>
      </c>
      <c r="D23" s="5">
        <v>46</v>
      </c>
      <c r="E23" s="5">
        <f t="shared" si="1"/>
        <v>9.2000000000000011</v>
      </c>
      <c r="F23" s="5">
        <v>100</v>
      </c>
      <c r="G23" s="5">
        <f t="shared" si="4"/>
        <v>10</v>
      </c>
      <c r="H23" s="5">
        <f t="shared" si="2"/>
        <v>35.200000000000003</v>
      </c>
      <c r="I23" s="5">
        <v>60</v>
      </c>
      <c r="J23" s="5">
        <f t="shared" si="5"/>
        <v>30</v>
      </c>
      <c r="K23" s="5">
        <f t="shared" si="3"/>
        <v>65.2</v>
      </c>
    </row>
    <row r="24" spans="1:11" ht="15.75" x14ac:dyDescent="0.25">
      <c r="A24" s="5" t="s">
        <v>31</v>
      </c>
      <c r="B24" s="5">
        <v>100</v>
      </c>
      <c r="C24" s="5">
        <f t="shared" si="0"/>
        <v>20</v>
      </c>
      <c r="D24" s="5">
        <v>82</v>
      </c>
      <c r="E24" s="5">
        <f t="shared" si="1"/>
        <v>16.400000000000002</v>
      </c>
      <c r="F24" s="5">
        <v>100</v>
      </c>
      <c r="G24" s="5">
        <f t="shared" si="4"/>
        <v>10</v>
      </c>
      <c r="H24" s="5">
        <f t="shared" si="2"/>
        <v>46.400000000000006</v>
      </c>
      <c r="I24" s="5">
        <v>89</v>
      </c>
      <c r="J24" s="5">
        <f t="shared" si="5"/>
        <v>44.5</v>
      </c>
      <c r="K24" s="5">
        <f t="shared" si="3"/>
        <v>90.9</v>
      </c>
    </row>
    <row r="25" spans="1:11" ht="15.75" x14ac:dyDescent="0.25">
      <c r="A25" s="5" t="s">
        <v>14</v>
      </c>
      <c r="B25" s="5">
        <v>80</v>
      </c>
      <c r="C25" s="5">
        <f t="shared" si="0"/>
        <v>16</v>
      </c>
      <c r="D25" s="5">
        <v>85</v>
      </c>
      <c r="E25" s="5">
        <f t="shared" si="1"/>
        <v>17</v>
      </c>
      <c r="F25" s="5">
        <v>100</v>
      </c>
      <c r="G25" s="5">
        <f t="shared" si="4"/>
        <v>10</v>
      </c>
      <c r="H25" s="5">
        <f t="shared" si="2"/>
        <v>43</v>
      </c>
      <c r="I25" s="5">
        <v>82</v>
      </c>
      <c r="J25" s="5">
        <f t="shared" si="5"/>
        <v>41</v>
      </c>
      <c r="K25" s="5">
        <f t="shared" si="3"/>
        <v>84</v>
      </c>
    </row>
    <row r="26" spans="1:11" ht="15.75" x14ac:dyDescent="0.25">
      <c r="A26" s="5" t="s">
        <v>16</v>
      </c>
      <c r="B26" s="5">
        <v>100</v>
      </c>
      <c r="C26" s="5">
        <f t="shared" si="0"/>
        <v>20</v>
      </c>
      <c r="D26" s="5">
        <v>98</v>
      </c>
      <c r="E26" s="5">
        <f t="shared" si="1"/>
        <v>19.600000000000001</v>
      </c>
      <c r="F26" s="5">
        <v>100</v>
      </c>
      <c r="G26" s="5">
        <f t="shared" si="4"/>
        <v>10</v>
      </c>
      <c r="H26" s="5">
        <f t="shared" si="2"/>
        <v>49.6</v>
      </c>
      <c r="I26" s="5">
        <v>90</v>
      </c>
      <c r="J26" s="5">
        <f t="shared" si="5"/>
        <v>45</v>
      </c>
      <c r="K26" s="5">
        <f t="shared" si="3"/>
        <v>94.6</v>
      </c>
    </row>
    <row r="27" spans="1:11" ht="15.75" x14ac:dyDescent="0.25">
      <c r="A27" s="5" t="s">
        <v>29</v>
      </c>
      <c r="B27" s="5">
        <v>90</v>
      </c>
      <c r="C27" s="5">
        <f t="shared" si="0"/>
        <v>18</v>
      </c>
      <c r="D27" s="5">
        <v>90</v>
      </c>
      <c r="E27" s="5">
        <f t="shared" si="1"/>
        <v>18</v>
      </c>
      <c r="F27" s="5">
        <v>100</v>
      </c>
      <c r="G27" s="5">
        <f t="shared" si="4"/>
        <v>10</v>
      </c>
      <c r="H27" s="5">
        <f t="shared" si="2"/>
        <v>46</v>
      </c>
      <c r="I27" s="5">
        <v>71</v>
      </c>
      <c r="J27" s="5">
        <f t="shared" si="5"/>
        <v>35.5</v>
      </c>
      <c r="K27" s="5">
        <f t="shared" si="3"/>
        <v>81.5</v>
      </c>
    </row>
    <row r="28" spans="1:11" ht="15.75" x14ac:dyDescent="0.25">
      <c r="A28" s="5" t="s">
        <v>15</v>
      </c>
      <c r="B28" s="5">
        <v>70</v>
      </c>
      <c r="C28" s="5">
        <f t="shared" si="0"/>
        <v>14</v>
      </c>
      <c r="D28" s="5">
        <v>77</v>
      </c>
      <c r="E28" s="5">
        <f t="shared" si="1"/>
        <v>15.4</v>
      </c>
      <c r="F28" s="5">
        <v>100</v>
      </c>
      <c r="G28" s="5">
        <f t="shared" si="4"/>
        <v>10</v>
      </c>
      <c r="H28" s="5">
        <f t="shared" si="2"/>
        <v>39.4</v>
      </c>
      <c r="I28" s="5">
        <v>61</v>
      </c>
      <c r="J28" s="5">
        <f t="shared" si="5"/>
        <v>30.5</v>
      </c>
      <c r="K28" s="5">
        <f t="shared" si="3"/>
        <v>69.900000000000006</v>
      </c>
    </row>
    <row r="29" spans="1:11" ht="15.75" x14ac:dyDescent="0.25">
      <c r="A29" s="5" t="s">
        <v>30</v>
      </c>
      <c r="B29" s="5">
        <v>90</v>
      </c>
      <c r="C29" s="5">
        <f t="shared" si="0"/>
        <v>18</v>
      </c>
      <c r="D29" s="5">
        <v>87</v>
      </c>
      <c r="E29" s="5">
        <f t="shared" si="1"/>
        <v>17.400000000000002</v>
      </c>
      <c r="F29" s="5">
        <v>100</v>
      </c>
      <c r="G29" s="5">
        <f t="shared" si="4"/>
        <v>10</v>
      </c>
      <c r="H29" s="5">
        <f t="shared" si="2"/>
        <v>45.400000000000006</v>
      </c>
      <c r="I29" s="5">
        <v>80</v>
      </c>
      <c r="J29" s="5">
        <f t="shared" si="5"/>
        <v>40</v>
      </c>
      <c r="K29" s="5">
        <f t="shared" si="3"/>
        <v>85.4</v>
      </c>
    </row>
    <row r="30" spans="1:11" ht="15.75" x14ac:dyDescent="0.25">
      <c r="A30" s="58" t="s">
        <v>145</v>
      </c>
      <c r="B30" s="58">
        <f ca="1">RANDBETWEEN(60, 100)</f>
        <v>61</v>
      </c>
      <c r="C30" s="58">
        <f t="shared" ref="C30:C35" ca="1" si="6">B30*20%</f>
        <v>12.200000000000001</v>
      </c>
      <c r="D30" s="58">
        <f ca="1">RANDBETWEEN(60, 100)</f>
        <v>73</v>
      </c>
      <c r="E30" s="58">
        <f t="shared" ref="E30:E35" ca="1" si="7">D30*20%</f>
        <v>14.600000000000001</v>
      </c>
      <c r="F30" s="5">
        <v>100</v>
      </c>
      <c r="G30" s="58">
        <f t="shared" ref="G30:G35" si="8">F30*10%</f>
        <v>10</v>
      </c>
      <c r="H30" s="58">
        <f t="shared" ref="H30:H35" ca="1" si="9">C30+E30+G30</f>
        <v>36.800000000000004</v>
      </c>
      <c r="I30" s="58">
        <f ca="1">RANDBETWEEN(60, 100)</f>
        <v>71</v>
      </c>
      <c r="J30" s="58">
        <f t="shared" ref="J30:J35" ca="1" si="10">I30*50%</f>
        <v>35.5</v>
      </c>
      <c r="K30" s="58">
        <f t="shared" ref="K30:K35" ca="1" si="11">C30+G30+E30+J30</f>
        <v>72.300000000000011</v>
      </c>
    </row>
    <row r="31" spans="1:11" ht="15.75" x14ac:dyDescent="0.25">
      <c r="A31" s="23" t="s">
        <v>88</v>
      </c>
      <c r="B31" s="58">
        <f t="shared" ref="B31:B32" ca="1" si="12">RANDBETWEEN(60, 100)</f>
        <v>87</v>
      </c>
      <c r="C31" s="5">
        <f t="shared" ca="1" si="6"/>
        <v>17.400000000000002</v>
      </c>
      <c r="D31" s="58">
        <f t="shared" ref="D31:D32" ca="1" si="13">RANDBETWEEN(60, 100)</f>
        <v>88</v>
      </c>
      <c r="E31" s="5">
        <f t="shared" ca="1" si="7"/>
        <v>17.600000000000001</v>
      </c>
      <c r="F31" s="5">
        <v>100</v>
      </c>
      <c r="G31" s="5">
        <f t="shared" si="8"/>
        <v>10</v>
      </c>
      <c r="H31" s="5">
        <f t="shared" ca="1" si="9"/>
        <v>45</v>
      </c>
      <c r="I31" s="58">
        <f t="shared" ref="I31:I32" ca="1" si="14">RANDBETWEEN(60, 100)</f>
        <v>81</v>
      </c>
      <c r="J31" s="5">
        <f t="shared" ca="1" si="10"/>
        <v>40.5</v>
      </c>
      <c r="K31" s="5">
        <f t="shared" ca="1" si="11"/>
        <v>85.5</v>
      </c>
    </row>
    <row r="32" spans="1:11" ht="15.75" x14ac:dyDescent="0.25">
      <c r="A32" s="23" t="s">
        <v>89</v>
      </c>
      <c r="B32" s="58">
        <f t="shared" ca="1" si="12"/>
        <v>72</v>
      </c>
      <c r="C32" s="5">
        <f t="shared" ca="1" si="6"/>
        <v>14.4</v>
      </c>
      <c r="D32" s="58">
        <f t="shared" ca="1" si="13"/>
        <v>82</v>
      </c>
      <c r="E32" s="5">
        <f t="shared" ca="1" si="7"/>
        <v>16.400000000000002</v>
      </c>
      <c r="F32" s="5">
        <v>100</v>
      </c>
      <c r="G32" s="5">
        <f t="shared" si="8"/>
        <v>10</v>
      </c>
      <c r="H32" s="5">
        <f t="shared" ca="1" si="9"/>
        <v>40.800000000000004</v>
      </c>
      <c r="I32" s="58">
        <f t="shared" ca="1" si="14"/>
        <v>78</v>
      </c>
      <c r="J32" s="5">
        <f t="shared" ca="1" si="10"/>
        <v>39</v>
      </c>
      <c r="K32" s="5">
        <f t="shared" ca="1" si="11"/>
        <v>79.8</v>
      </c>
    </row>
    <row r="33" spans="1:11" ht="15.75" x14ac:dyDescent="0.25">
      <c r="A33" s="23" t="s">
        <v>90</v>
      </c>
      <c r="B33" s="5">
        <v>98</v>
      </c>
      <c r="C33" s="5">
        <f t="shared" si="6"/>
        <v>19.600000000000001</v>
      </c>
      <c r="D33" s="5">
        <v>100</v>
      </c>
      <c r="E33" s="5">
        <f t="shared" si="7"/>
        <v>20</v>
      </c>
      <c r="F33" s="5">
        <v>100</v>
      </c>
      <c r="G33" s="5">
        <f t="shared" si="8"/>
        <v>10</v>
      </c>
      <c r="H33" s="5">
        <f t="shared" si="9"/>
        <v>49.6</v>
      </c>
      <c r="I33" s="5">
        <v>93</v>
      </c>
      <c r="J33" s="5">
        <f t="shared" si="10"/>
        <v>46.5</v>
      </c>
      <c r="K33" s="5">
        <f t="shared" si="11"/>
        <v>96.1</v>
      </c>
    </row>
    <row r="34" spans="1:11" ht="15.75" x14ac:dyDescent="0.25">
      <c r="A34" s="23" t="s">
        <v>91</v>
      </c>
      <c r="B34" s="5">
        <v>93</v>
      </c>
      <c r="C34" s="5">
        <f t="shared" si="6"/>
        <v>18.600000000000001</v>
      </c>
      <c r="D34" s="5">
        <v>95</v>
      </c>
      <c r="E34" s="5">
        <f t="shared" si="7"/>
        <v>19</v>
      </c>
      <c r="F34" s="5">
        <v>100</v>
      </c>
      <c r="G34" s="5">
        <f t="shared" si="8"/>
        <v>10</v>
      </c>
      <c r="H34" s="5">
        <f t="shared" si="9"/>
        <v>47.6</v>
      </c>
      <c r="I34" s="5">
        <v>92</v>
      </c>
      <c r="J34" s="5">
        <f t="shared" si="10"/>
        <v>46</v>
      </c>
      <c r="K34" s="5">
        <f t="shared" si="11"/>
        <v>93.6</v>
      </c>
    </row>
    <row r="35" spans="1:11" ht="15.75" x14ac:dyDescent="0.25">
      <c r="A35" s="23" t="s">
        <v>92</v>
      </c>
      <c r="B35" s="5">
        <v>100</v>
      </c>
      <c r="C35" s="5">
        <f t="shared" si="6"/>
        <v>20</v>
      </c>
      <c r="D35" s="5">
        <v>80</v>
      </c>
      <c r="E35" s="5">
        <f t="shared" si="7"/>
        <v>16</v>
      </c>
      <c r="F35" s="5">
        <v>100</v>
      </c>
      <c r="G35" s="5">
        <f t="shared" si="8"/>
        <v>10</v>
      </c>
      <c r="H35" s="5">
        <f t="shared" si="9"/>
        <v>46</v>
      </c>
      <c r="I35" s="5">
        <v>92</v>
      </c>
      <c r="J35" s="5">
        <f t="shared" si="10"/>
        <v>46</v>
      </c>
      <c r="K35" s="5">
        <f t="shared" si="11"/>
        <v>92</v>
      </c>
    </row>
    <row r="36" spans="1:11" ht="15.75" x14ac:dyDescent="0.25">
      <c r="A36" s="23" t="s">
        <v>93</v>
      </c>
      <c r="B36" s="5">
        <v>98</v>
      </c>
      <c r="C36" s="5">
        <f t="shared" ref="C36:C80" si="15">B36*20%</f>
        <v>19.600000000000001</v>
      </c>
      <c r="D36" s="5">
        <v>95</v>
      </c>
      <c r="E36" s="5">
        <f t="shared" ref="E36:E80" si="16">D36*20%</f>
        <v>19</v>
      </c>
      <c r="F36" s="5">
        <v>100</v>
      </c>
      <c r="G36" s="5">
        <f t="shared" ref="G36:G80" si="17">F36*10%</f>
        <v>10</v>
      </c>
      <c r="H36" s="5">
        <f t="shared" ref="H36:H80" si="18">C36+E36+G36</f>
        <v>48.6</v>
      </c>
      <c r="I36" s="5">
        <v>97</v>
      </c>
      <c r="J36" s="5">
        <f t="shared" ref="J36:J80" si="19">I36*50%</f>
        <v>48.5</v>
      </c>
      <c r="K36" s="5">
        <f t="shared" ref="K36:K80" si="20">C36+G36+E36+J36</f>
        <v>97.1</v>
      </c>
    </row>
    <row r="37" spans="1:11" ht="15.75" x14ac:dyDescent="0.25">
      <c r="A37" s="23" t="s">
        <v>94</v>
      </c>
      <c r="B37" s="5">
        <v>96</v>
      </c>
      <c r="C37" s="5">
        <f t="shared" si="15"/>
        <v>19.200000000000003</v>
      </c>
      <c r="D37" s="5">
        <v>82</v>
      </c>
      <c r="E37" s="5">
        <f t="shared" si="16"/>
        <v>16.400000000000002</v>
      </c>
      <c r="F37" s="5">
        <v>100</v>
      </c>
      <c r="G37" s="5">
        <f t="shared" si="17"/>
        <v>10</v>
      </c>
      <c r="H37" s="5">
        <f t="shared" si="18"/>
        <v>45.600000000000009</v>
      </c>
      <c r="I37" s="5">
        <v>85</v>
      </c>
      <c r="J37" s="5">
        <f t="shared" si="19"/>
        <v>42.5</v>
      </c>
      <c r="K37" s="5">
        <f t="shared" si="20"/>
        <v>88.100000000000009</v>
      </c>
    </row>
    <row r="38" spans="1:11" ht="15.75" x14ac:dyDescent="0.25">
      <c r="A38" s="23" t="s">
        <v>95</v>
      </c>
      <c r="B38" s="5">
        <v>70</v>
      </c>
      <c r="C38" s="5">
        <f t="shared" si="15"/>
        <v>14</v>
      </c>
      <c r="D38" s="5">
        <v>70</v>
      </c>
      <c r="E38" s="5">
        <f t="shared" si="16"/>
        <v>14</v>
      </c>
      <c r="F38" s="5">
        <v>100</v>
      </c>
      <c r="G38" s="5">
        <f t="shared" si="17"/>
        <v>10</v>
      </c>
      <c r="H38" s="5">
        <f t="shared" si="18"/>
        <v>38</v>
      </c>
      <c r="I38" s="5">
        <v>85</v>
      </c>
      <c r="J38" s="5">
        <f t="shared" si="19"/>
        <v>42.5</v>
      </c>
      <c r="K38" s="5">
        <f t="shared" si="20"/>
        <v>80.5</v>
      </c>
    </row>
    <row r="39" spans="1:11" ht="15.75" x14ac:dyDescent="0.25">
      <c r="A39" s="23" t="s">
        <v>96</v>
      </c>
      <c r="B39" s="5">
        <v>80</v>
      </c>
      <c r="C39" s="5">
        <f t="shared" si="15"/>
        <v>16</v>
      </c>
      <c r="D39" s="5">
        <v>80</v>
      </c>
      <c r="E39" s="5">
        <f t="shared" si="16"/>
        <v>16</v>
      </c>
      <c r="F39" s="5">
        <v>100</v>
      </c>
      <c r="G39" s="5">
        <f t="shared" si="17"/>
        <v>10</v>
      </c>
      <c r="H39" s="5">
        <f t="shared" si="18"/>
        <v>42</v>
      </c>
      <c r="I39" s="5">
        <v>85</v>
      </c>
      <c r="J39" s="5">
        <f t="shared" si="19"/>
        <v>42.5</v>
      </c>
      <c r="K39" s="5">
        <f t="shared" si="20"/>
        <v>84.5</v>
      </c>
    </row>
    <row r="40" spans="1:11" ht="15.75" x14ac:dyDescent="0.25">
      <c r="A40" s="23" t="s">
        <v>97</v>
      </c>
      <c r="B40" s="5">
        <v>100</v>
      </c>
      <c r="C40" s="5">
        <f t="shared" si="15"/>
        <v>20</v>
      </c>
      <c r="D40" s="5">
        <v>92</v>
      </c>
      <c r="E40" s="5">
        <f t="shared" si="16"/>
        <v>18.400000000000002</v>
      </c>
      <c r="F40" s="5">
        <v>100</v>
      </c>
      <c r="G40" s="5">
        <f t="shared" si="17"/>
        <v>10</v>
      </c>
      <c r="H40" s="5">
        <f t="shared" si="18"/>
        <v>48.400000000000006</v>
      </c>
      <c r="I40" s="5">
        <v>93</v>
      </c>
      <c r="J40" s="5">
        <f t="shared" si="19"/>
        <v>46.5</v>
      </c>
      <c r="K40" s="5">
        <f t="shared" si="20"/>
        <v>94.9</v>
      </c>
    </row>
    <row r="41" spans="1:11" ht="15.75" x14ac:dyDescent="0.25">
      <c r="A41" s="23" t="s">
        <v>98</v>
      </c>
      <c r="B41" s="5">
        <v>70</v>
      </c>
      <c r="C41" s="5">
        <f t="shared" si="15"/>
        <v>14</v>
      </c>
      <c r="D41" s="5">
        <v>80</v>
      </c>
      <c r="E41" s="5">
        <f t="shared" si="16"/>
        <v>16</v>
      </c>
      <c r="F41" s="5">
        <v>100</v>
      </c>
      <c r="G41" s="5">
        <f t="shared" si="17"/>
        <v>10</v>
      </c>
      <c r="H41" s="5">
        <f t="shared" si="18"/>
        <v>40</v>
      </c>
      <c r="I41" s="5">
        <v>93</v>
      </c>
      <c r="J41" s="5">
        <f t="shared" si="19"/>
        <v>46.5</v>
      </c>
      <c r="K41" s="5">
        <f t="shared" si="20"/>
        <v>86.5</v>
      </c>
    </row>
    <row r="42" spans="1:11" ht="15.75" x14ac:dyDescent="0.25">
      <c r="A42" s="23" t="s">
        <v>99</v>
      </c>
      <c r="B42" s="5">
        <v>100</v>
      </c>
      <c r="C42" s="5">
        <f t="shared" si="15"/>
        <v>20</v>
      </c>
      <c r="D42" s="5">
        <v>96</v>
      </c>
      <c r="E42" s="5">
        <f t="shared" si="16"/>
        <v>19.200000000000003</v>
      </c>
      <c r="F42" s="5">
        <v>100</v>
      </c>
      <c r="G42" s="5">
        <f t="shared" si="17"/>
        <v>10</v>
      </c>
      <c r="H42" s="5">
        <f t="shared" si="18"/>
        <v>49.2</v>
      </c>
      <c r="I42" s="5">
        <v>99</v>
      </c>
      <c r="J42" s="5">
        <f t="shared" si="19"/>
        <v>49.5</v>
      </c>
      <c r="K42" s="5">
        <f t="shared" si="20"/>
        <v>98.7</v>
      </c>
    </row>
    <row r="43" spans="1:11" ht="15.75" x14ac:dyDescent="0.25">
      <c r="A43" s="23" t="s">
        <v>100</v>
      </c>
      <c r="B43" s="5">
        <v>98</v>
      </c>
      <c r="C43" s="5">
        <f t="shared" si="15"/>
        <v>19.600000000000001</v>
      </c>
      <c r="D43" s="5">
        <v>92</v>
      </c>
      <c r="E43" s="5">
        <f t="shared" si="16"/>
        <v>18.400000000000002</v>
      </c>
      <c r="F43" s="5">
        <v>100</v>
      </c>
      <c r="G43" s="5">
        <f t="shared" si="17"/>
        <v>10</v>
      </c>
      <c r="H43" s="5">
        <f t="shared" si="18"/>
        <v>48</v>
      </c>
      <c r="I43" s="5">
        <v>93</v>
      </c>
      <c r="J43" s="5">
        <f t="shared" si="19"/>
        <v>46.5</v>
      </c>
      <c r="K43" s="5">
        <f t="shared" si="20"/>
        <v>94.5</v>
      </c>
    </row>
    <row r="44" spans="1:11" ht="15.75" x14ac:dyDescent="0.25">
      <c r="A44" s="23" t="s">
        <v>101</v>
      </c>
      <c r="B44" s="5">
        <v>100</v>
      </c>
      <c r="C44" s="5">
        <f t="shared" si="15"/>
        <v>20</v>
      </c>
      <c r="D44" s="5">
        <v>100</v>
      </c>
      <c r="E44" s="5">
        <f t="shared" si="16"/>
        <v>20</v>
      </c>
      <c r="F44" s="5">
        <v>100</v>
      </c>
      <c r="G44" s="5">
        <f t="shared" si="17"/>
        <v>10</v>
      </c>
      <c r="H44" s="5">
        <f t="shared" si="18"/>
        <v>50</v>
      </c>
      <c r="I44" s="5">
        <v>98</v>
      </c>
      <c r="J44" s="5">
        <f t="shared" si="19"/>
        <v>49</v>
      </c>
      <c r="K44" s="5">
        <f t="shared" si="20"/>
        <v>99</v>
      </c>
    </row>
    <row r="45" spans="1:11" ht="15.75" x14ac:dyDescent="0.25">
      <c r="A45" s="23" t="s">
        <v>102</v>
      </c>
      <c r="B45" s="5">
        <v>95</v>
      </c>
      <c r="C45" s="5">
        <f t="shared" si="15"/>
        <v>19</v>
      </c>
      <c r="D45" s="5">
        <v>78</v>
      </c>
      <c r="E45" s="5">
        <f t="shared" si="16"/>
        <v>15.600000000000001</v>
      </c>
      <c r="F45" s="5">
        <v>100</v>
      </c>
      <c r="G45" s="5">
        <f t="shared" si="17"/>
        <v>10</v>
      </c>
      <c r="H45" s="5">
        <f t="shared" si="18"/>
        <v>44.6</v>
      </c>
      <c r="I45" s="5">
        <v>87</v>
      </c>
      <c r="J45" s="5">
        <f t="shared" si="19"/>
        <v>43.5</v>
      </c>
      <c r="K45" s="5">
        <f t="shared" si="20"/>
        <v>88.1</v>
      </c>
    </row>
    <row r="46" spans="1:11" ht="15.75" x14ac:dyDescent="0.25">
      <c r="A46" s="23" t="s">
        <v>103</v>
      </c>
      <c r="B46" s="5">
        <v>90</v>
      </c>
      <c r="C46" s="5">
        <f t="shared" si="15"/>
        <v>18</v>
      </c>
      <c r="D46" s="5">
        <v>92</v>
      </c>
      <c r="E46" s="5">
        <f t="shared" si="16"/>
        <v>18.400000000000002</v>
      </c>
      <c r="F46" s="5">
        <v>100</v>
      </c>
      <c r="G46" s="5">
        <f t="shared" si="17"/>
        <v>10</v>
      </c>
      <c r="H46" s="5">
        <f t="shared" si="18"/>
        <v>46.400000000000006</v>
      </c>
      <c r="I46" s="5">
        <v>94</v>
      </c>
      <c r="J46" s="5">
        <f t="shared" si="19"/>
        <v>47</v>
      </c>
      <c r="K46" s="5">
        <f t="shared" si="20"/>
        <v>93.4</v>
      </c>
    </row>
    <row r="47" spans="1:11" ht="15.75" x14ac:dyDescent="0.25">
      <c r="A47" s="23" t="s">
        <v>104</v>
      </c>
      <c r="B47" s="5">
        <v>72</v>
      </c>
      <c r="C47" s="5">
        <f t="shared" si="15"/>
        <v>14.4</v>
      </c>
      <c r="D47" s="5">
        <v>70</v>
      </c>
      <c r="E47" s="5">
        <f t="shared" si="16"/>
        <v>14</v>
      </c>
      <c r="F47" s="5">
        <v>100</v>
      </c>
      <c r="G47" s="5">
        <f t="shared" si="17"/>
        <v>10</v>
      </c>
      <c r="H47" s="5">
        <f t="shared" si="18"/>
        <v>38.4</v>
      </c>
      <c r="I47" s="5">
        <v>80</v>
      </c>
      <c r="J47" s="5">
        <f t="shared" si="19"/>
        <v>40</v>
      </c>
      <c r="K47" s="5">
        <f t="shared" si="20"/>
        <v>78.400000000000006</v>
      </c>
    </row>
    <row r="48" spans="1:11" ht="15.75" x14ac:dyDescent="0.25">
      <c r="A48" s="23" t="s">
        <v>105</v>
      </c>
      <c r="B48" s="5">
        <v>97</v>
      </c>
      <c r="C48" s="5">
        <f t="shared" si="15"/>
        <v>19.400000000000002</v>
      </c>
      <c r="D48" s="5">
        <v>91</v>
      </c>
      <c r="E48" s="5">
        <f t="shared" si="16"/>
        <v>18.2</v>
      </c>
      <c r="F48" s="5">
        <v>100</v>
      </c>
      <c r="G48" s="5">
        <f t="shared" si="17"/>
        <v>10</v>
      </c>
      <c r="H48" s="5">
        <f t="shared" si="18"/>
        <v>47.6</v>
      </c>
      <c r="I48" s="5">
        <v>89</v>
      </c>
      <c r="J48" s="5">
        <f t="shared" si="19"/>
        <v>44.5</v>
      </c>
      <c r="K48" s="5">
        <f t="shared" si="20"/>
        <v>92.1</v>
      </c>
    </row>
    <row r="49" spans="1:11" ht="15.75" x14ac:dyDescent="0.25">
      <c r="A49" s="23" t="s">
        <v>106</v>
      </c>
      <c r="B49" s="5">
        <v>100</v>
      </c>
      <c r="C49" s="5">
        <f t="shared" si="15"/>
        <v>20</v>
      </c>
      <c r="D49" s="5">
        <v>92</v>
      </c>
      <c r="E49" s="5">
        <f t="shared" si="16"/>
        <v>18.400000000000002</v>
      </c>
      <c r="F49" s="5">
        <v>100</v>
      </c>
      <c r="G49" s="5">
        <f t="shared" si="17"/>
        <v>10</v>
      </c>
      <c r="H49" s="5">
        <f t="shared" si="18"/>
        <v>48.400000000000006</v>
      </c>
      <c r="I49" s="5">
        <v>99</v>
      </c>
      <c r="J49" s="5">
        <f t="shared" si="19"/>
        <v>49.5</v>
      </c>
      <c r="K49" s="5">
        <f t="shared" si="20"/>
        <v>97.9</v>
      </c>
    </row>
    <row r="50" spans="1:11" ht="15.75" x14ac:dyDescent="0.25">
      <c r="A50" s="23" t="s">
        <v>107</v>
      </c>
      <c r="B50" s="5">
        <v>97</v>
      </c>
      <c r="C50" s="5">
        <f t="shared" si="15"/>
        <v>19.400000000000002</v>
      </c>
      <c r="D50" s="5">
        <v>96</v>
      </c>
      <c r="E50" s="5">
        <f t="shared" si="16"/>
        <v>19.200000000000003</v>
      </c>
      <c r="F50" s="5">
        <v>100</v>
      </c>
      <c r="G50" s="5">
        <f t="shared" si="17"/>
        <v>10</v>
      </c>
      <c r="H50" s="5">
        <f t="shared" si="18"/>
        <v>48.600000000000009</v>
      </c>
      <c r="I50" s="5">
        <v>96</v>
      </c>
      <c r="J50" s="5">
        <f t="shared" si="19"/>
        <v>48</v>
      </c>
      <c r="K50" s="5">
        <f t="shared" si="20"/>
        <v>96.600000000000009</v>
      </c>
    </row>
    <row r="51" spans="1:11" ht="15.75" x14ac:dyDescent="0.25">
      <c r="A51" s="23" t="s">
        <v>108</v>
      </c>
      <c r="B51" s="5">
        <v>100</v>
      </c>
      <c r="C51" s="5">
        <f t="shared" si="15"/>
        <v>20</v>
      </c>
      <c r="D51" s="5">
        <v>100</v>
      </c>
      <c r="E51" s="5">
        <f t="shared" si="16"/>
        <v>20</v>
      </c>
      <c r="F51" s="5">
        <v>100</v>
      </c>
      <c r="G51" s="5">
        <f t="shared" si="17"/>
        <v>10</v>
      </c>
      <c r="H51" s="5">
        <f t="shared" si="18"/>
        <v>50</v>
      </c>
      <c r="I51" s="5">
        <v>97</v>
      </c>
      <c r="J51" s="5">
        <f t="shared" si="19"/>
        <v>48.5</v>
      </c>
      <c r="K51" s="5">
        <f t="shared" si="20"/>
        <v>98.5</v>
      </c>
    </row>
    <row r="52" spans="1:11" ht="15.75" x14ac:dyDescent="0.25">
      <c r="A52" s="23" t="s">
        <v>109</v>
      </c>
      <c r="B52" s="5">
        <v>80</v>
      </c>
      <c r="C52" s="5">
        <f t="shared" si="15"/>
        <v>16</v>
      </c>
      <c r="D52" s="5">
        <v>90</v>
      </c>
      <c r="E52" s="5">
        <f t="shared" si="16"/>
        <v>18</v>
      </c>
      <c r="F52" s="5">
        <v>100</v>
      </c>
      <c r="G52" s="5">
        <f t="shared" si="17"/>
        <v>10</v>
      </c>
      <c r="H52" s="5">
        <f t="shared" si="18"/>
        <v>44</v>
      </c>
      <c r="I52" s="5">
        <v>97</v>
      </c>
      <c r="J52" s="5">
        <f t="shared" si="19"/>
        <v>48.5</v>
      </c>
      <c r="K52" s="5">
        <f t="shared" si="20"/>
        <v>92.5</v>
      </c>
    </row>
    <row r="53" spans="1:11" ht="15.75" x14ac:dyDescent="0.25">
      <c r="A53" s="23" t="s">
        <v>110</v>
      </c>
      <c r="B53" s="5">
        <v>92</v>
      </c>
      <c r="C53" s="5">
        <f t="shared" si="15"/>
        <v>18.400000000000002</v>
      </c>
      <c r="D53" s="5">
        <v>94</v>
      </c>
      <c r="E53" s="5">
        <f t="shared" si="16"/>
        <v>18.8</v>
      </c>
      <c r="F53" s="5">
        <v>100</v>
      </c>
      <c r="G53" s="5">
        <f t="shared" si="17"/>
        <v>10</v>
      </c>
      <c r="H53" s="5">
        <f t="shared" si="18"/>
        <v>47.2</v>
      </c>
      <c r="I53" s="5">
        <v>93</v>
      </c>
      <c r="J53" s="5">
        <f t="shared" si="19"/>
        <v>46.5</v>
      </c>
      <c r="K53" s="5">
        <f t="shared" si="20"/>
        <v>93.7</v>
      </c>
    </row>
    <row r="54" spans="1:11" ht="15.75" x14ac:dyDescent="0.25">
      <c r="A54" s="23" t="s">
        <v>111</v>
      </c>
      <c r="B54" s="5">
        <v>80</v>
      </c>
      <c r="C54" s="5">
        <f t="shared" si="15"/>
        <v>16</v>
      </c>
      <c r="D54" s="5">
        <v>90</v>
      </c>
      <c r="E54" s="5">
        <f t="shared" si="16"/>
        <v>18</v>
      </c>
      <c r="F54" s="5">
        <v>100</v>
      </c>
      <c r="G54" s="5">
        <f t="shared" si="17"/>
        <v>10</v>
      </c>
      <c r="H54" s="5">
        <f t="shared" si="18"/>
        <v>44</v>
      </c>
      <c r="I54" s="5">
        <v>93</v>
      </c>
      <c r="J54" s="5">
        <f t="shared" si="19"/>
        <v>46.5</v>
      </c>
      <c r="K54" s="5">
        <f t="shared" si="20"/>
        <v>90.5</v>
      </c>
    </row>
    <row r="55" spans="1:11" s="57" customFormat="1" ht="15.75" x14ac:dyDescent="0.25">
      <c r="A55" s="59" t="s">
        <v>112</v>
      </c>
      <c r="B55" s="60">
        <v>20</v>
      </c>
      <c r="C55" s="5">
        <f t="shared" si="15"/>
        <v>4</v>
      </c>
      <c r="D55" s="60">
        <v>73</v>
      </c>
      <c r="E55" s="60">
        <f t="shared" si="16"/>
        <v>14.600000000000001</v>
      </c>
      <c r="F55" s="60">
        <v>100</v>
      </c>
      <c r="G55" s="60">
        <f t="shared" si="17"/>
        <v>10</v>
      </c>
      <c r="H55" s="60">
        <f t="shared" si="18"/>
        <v>28.6</v>
      </c>
      <c r="I55" s="60">
        <v>75</v>
      </c>
      <c r="J55" s="60">
        <f t="shared" si="19"/>
        <v>37.5</v>
      </c>
      <c r="K55" s="60">
        <f t="shared" si="20"/>
        <v>66.099999999999994</v>
      </c>
    </row>
    <row r="56" spans="1:11" ht="15.75" x14ac:dyDescent="0.25">
      <c r="A56" s="23" t="s">
        <v>113</v>
      </c>
      <c r="B56" s="5">
        <v>70</v>
      </c>
      <c r="C56" s="5">
        <f t="shared" si="15"/>
        <v>14</v>
      </c>
      <c r="D56" s="5">
        <v>90</v>
      </c>
      <c r="E56" s="5">
        <f t="shared" si="16"/>
        <v>18</v>
      </c>
      <c r="F56" s="5">
        <v>100</v>
      </c>
      <c r="G56" s="5">
        <f t="shared" si="17"/>
        <v>10</v>
      </c>
      <c r="H56" s="5">
        <f t="shared" si="18"/>
        <v>42</v>
      </c>
      <c r="I56" s="5">
        <v>96</v>
      </c>
      <c r="J56" s="5">
        <f t="shared" si="19"/>
        <v>48</v>
      </c>
      <c r="K56" s="5">
        <f t="shared" si="20"/>
        <v>90</v>
      </c>
    </row>
    <row r="57" spans="1:11" ht="15.75" x14ac:dyDescent="0.25">
      <c r="A57" s="23" t="s">
        <v>114</v>
      </c>
      <c r="B57" s="5">
        <v>90</v>
      </c>
      <c r="C57" s="5">
        <f t="shared" si="15"/>
        <v>18</v>
      </c>
      <c r="D57" s="5">
        <v>92</v>
      </c>
      <c r="E57" s="5">
        <f t="shared" si="16"/>
        <v>18.400000000000002</v>
      </c>
      <c r="F57" s="5">
        <v>100</v>
      </c>
      <c r="G57" s="5">
        <f t="shared" si="17"/>
        <v>10</v>
      </c>
      <c r="H57" s="5">
        <f t="shared" si="18"/>
        <v>46.400000000000006</v>
      </c>
      <c r="I57" s="5">
        <v>98</v>
      </c>
      <c r="J57" s="5">
        <f t="shared" si="19"/>
        <v>49</v>
      </c>
      <c r="K57" s="5">
        <f t="shared" si="20"/>
        <v>95.4</v>
      </c>
    </row>
    <row r="58" spans="1:11" ht="15.75" x14ac:dyDescent="0.25">
      <c r="A58" s="23" t="s">
        <v>115</v>
      </c>
      <c r="B58" s="5">
        <v>60</v>
      </c>
      <c r="C58" s="5">
        <f t="shared" si="15"/>
        <v>12</v>
      </c>
      <c r="D58" s="5">
        <v>66</v>
      </c>
      <c r="E58" s="5">
        <f t="shared" si="16"/>
        <v>13.200000000000001</v>
      </c>
      <c r="F58" s="5">
        <v>100</v>
      </c>
      <c r="G58" s="5">
        <f t="shared" si="17"/>
        <v>10</v>
      </c>
      <c r="H58" s="5">
        <f t="shared" si="18"/>
        <v>35.200000000000003</v>
      </c>
      <c r="I58" s="5">
        <v>83</v>
      </c>
      <c r="J58" s="5">
        <f t="shared" si="19"/>
        <v>41.5</v>
      </c>
      <c r="K58" s="5">
        <f t="shared" si="20"/>
        <v>76.7</v>
      </c>
    </row>
    <row r="59" spans="1:11" ht="15.75" x14ac:dyDescent="0.25">
      <c r="A59" s="23" t="s">
        <v>116</v>
      </c>
      <c r="B59" s="5">
        <v>100</v>
      </c>
      <c r="C59" s="5">
        <f t="shared" si="15"/>
        <v>20</v>
      </c>
      <c r="D59" s="5">
        <v>90</v>
      </c>
      <c r="E59" s="5">
        <f t="shared" si="16"/>
        <v>18</v>
      </c>
      <c r="F59" s="5">
        <v>100</v>
      </c>
      <c r="G59" s="5">
        <f t="shared" si="17"/>
        <v>10</v>
      </c>
      <c r="H59" s="5">
        <f t="shared" si="18"/>
        <v>48</v>
      </c>
      <c r="I59" s="5">
        <v>95</v>
      </c>
      <c r="J59" s="5">
        <f t="shared" si="19"/>
        <v>47.5</v>
      </c>
      <c r="K59" s="5">
        <f t="shared" si="20"/>
        <v>95.5</v>
      </c>
    </row>
    <row r="60" spans="1:11" ht="15.75" x14ac:dyDescent="0.25">
      <c r="A60" s="23" t="s">
        <v>117</v>
      </c>
      <c r="B60" s="5">
        <v>100</v>
      </c>
      <c r="C60" s="5">
        <f t="shared" si="15"/>
        <v>20</v>
      </c>
      <c r="D60" s="5">
        <v>71</v>
      </c>
      <c r="E60" s="5">
        <f t="shared" si="16"/>
        <v>14.200000000000001</v>
      </c>
      <c r="F60" s="5">
        <v>100</v>
      </c>
      <c r="G60" s="5">
        <f t="shared" si="17"/>
        <v>10</v>
      </c>
      <c r="H60" s="5">
        <f t="shared" si="18"/>
        <v>44.2</v>
      </c>
      <c r="I60" s="5">
        <v>82</v>
      </c>
      <c r="J60" s="5">
        <f t="shared" si="19"/>
        <v>41</v>
      </c>
      <c r="K60" s="5">
        <f t="shared" si="20"/>
        <v>85.2</v>
      </c>
    </row>
    <row r="61" spans="1:11" ht="15.75" x14ac:dyDescent="0.25">
      <c r="A61" s="23" t="s">
        <v>118</v>
      </c>
      <c r="B61" s="5">
        <v>80</v>
      </c>
      <c r="C61" s="5">
        <f t="shared" si="15"/>
        <v>16</v>
      </c>
      <c r="D61" s="5">
        <v>94</v>
      </c>
      <c r="E61" s="5">
        <f t="shared" si="16"/>
        <v>18.8</v>
      </c>
      <c r="F61" s="5">
        <v>100</v>
      </c>
      <c r="G61" s="5">
        <f t="shared" si="17"/>
        <v>10</v>
      </c>
      <c r="H61" s="5">
        <f t="shared" si="18"/>
        <v>44.8</v>
      </c>
      <c r="I61" s="5">
        <v>87</v>
      </c>
      <c r="J61" s="5">
        <f t="shared" si="19"/>
        <v>43.5</v>
      </c>
      <c r="K61" s="5">
        <f t="shared" si="20"/>
        <v>88.3</v>
      </c>
    </row>
    <row r="62" spans="1:11" ht="15.75" x14ac:dyDescent="0.25">
      <c r="A62" s="23" t="s">
        <v>119</v>
      </c>
      <c r="B62" s="5">
        <v>90</v>
      </c>
      <c r="C62" s="5">
        <f t="shared" si="15"/>
        <v>18</v>
      </c>
      <c r="D62" s="5">
        <v>70</v>
      </c>
      <c r="E62" s="5">
        <f t="shared" si="16"/>
        <v>14</v>
      </c>
      <c r="F62" s="5">
        <v>100</v>
      </c>
      <c r="G62" s="5">
        <f t="shared" si="17"/>
        <v>10</v>
      </c>
      <c r="H62" s="5">
        <f t="shared" si="18"/>
        <v>42</v>
      </c>
      <c r="I62" s="5">
        <v>60</v>
      </c>
      <c r="J62" s="5">
        <f t="shared" si="19"/>
        <v>30</v>
      </c>
      <c r="K62" s="5">
        <f t="shared" si="20"/>
        <v>72</v>
      </c>
    </row>
    <row r="63" spans="1:11" ht="15.75" x14ac:dyDescent="0.25">
      <c r="A63" s="23" t="s">
        <v>120</v>
      </c>
      <c r="B63" s="5">
        <v>100</v>
      </c>
      <c r="C63" s="5">
        <f t="shared" si="15"/>
        <v>20</v>
      </c>
      <c r="D63" s="5">
        <v>91</v>
      </c>
      <c r="E63" s="5">
        <f t="shared" si="16"/>
        <v>18.2</v>
      </c>
      <c r="F63" s="5">
        <v>100</v>
      </c>
      <c r="G63" s="5">
        <f t="shared" si="17"/>
        <v>10</v>
      </c>
      <c r="H63" s="5">
        <f t="shared" si="18"/>
        <v>48.2</v>
      </c>
      <c r="I63" s="5">
        <v>89</v>
      </c>
      <c r="J63" s="5">
        <f t="shared" si="19"/>
        <v>44.5</v>
      </c>
      <c r="K63" s="5">
        <f t="shared" si="20"/>
        <v>92.7</v>
      </c>
    </row>
    <row r="64" spans="1:11" ht="15.75" x14ac:dyDescent="0.25">
      <c r="A64" s="23" t="s">
        <v>121</v>
      </c>
      <c r="B64" s="5">
        <v>100</v>
      </c>
      <c r="C64" s="5">
        <f t="shared" si="15"/>
        <v>20</v>
      </c>
      <c r="D64" s="5">
        <v>90</v>
      </c>
      <c r="E64" s="5">
        <f t="shared" si="16"/>
        <v>18</v>
      </c>
      <c r="F64" s="5">
        <v>100</v>
      </c>
      <c r="G64" s="5">
        <f t="shared" si="17"/>
        <v>10</v>
      </c>
      <c r="H64" s="5">
        <f t="shared" si="18"/>
        <v>48</v>
      </c>
      <c r="I64" s="5">
        <v>96</v>
      </c>
      <c r="J64" s="5">
        <f t="shared" si="19"/>
        <v>48</v>
      </c>
      <c r="K64" s="5">
        <f t="shared" si="20"/>
        <v>96</v>
      </c>
    </row>
    <row r="65" spans="1:11" ht="15.75" x14ac:dyDescent="0.25">
      <c r="A65" s="23" t="s">
        <v>122</v>
      </c>
      <c r="B65" s="5">
        <v>90</v>
      </c>
      <c r="C65" s="5">
        <f t="shared" si="15"/>
        <v>18</v>
      </c>
      <c r="D65" s="5">
        <v>91</v>
      </c>
      <c r="E65" s="5">
        <f t="shared" si="16"/>
        <v>18.2</v>
      </c>
      <c r="F65" s="5">
        <v>100</v>
      </c>
      <c r="G65" s="5">
        <f t="shared" si="17"/>
        <v>10</v>
      </c>
      <c r="H65" s="5">
        <f t="shared" si="18"/>
        <v>46.2</v>
      </c>
      <c r="I65" s="5">
        <v>96</v>
      </c>
      <c r="J65" s="5">
        <f t="shared" si="19"/>
        <v>48</v>
      </c>
      <c r="K65" s="5">
        <f t="shared" si="20"/>
        <v>94.2</v>
      </c>
    </row>
    <row r="66" spans="1:11" ht="15.75" x14ac:dyDescent="0.25">
      <c r="A66" s="23" t="s">
        <v>123</v>
      </c>
      <c r="B66" s="5">
        <v>95</v>
      </c>
      <c r="C66" s="5">
        <f t="shared" si="15"/>
        <v>19</v>
      </c>
      <c r="D66" s="5">
        <v>76</v>
      </c>
      <c r="E66" s="5">
        <f t="shared" si="16"/>
        <v>15.200000000000001</v>
      </c>
      <c r="F66" s="5">
        <v>100</v>
      </c>
      <c r="G66" s="5">
        <f t="shared" si="17"/>
        <v>10</v>
      </c>
      <c r="H66" s="5">
        <f t="shared" si="18"/>
        <v>44.2</v>
      </c>
      <c r="I66" s="5">
        <v>75</v>
      </c>
      <c r="J66" s="5">
        <f t="shared" si="19"/>
        <v>37.5</v>
      </c>
      <c r="K66" s="5">
        <f t="shared" si="20"/>
        <v>81.7</v>
      </c>
    </row>
    <row r="67" spans="1:11" ht="15.75" x14ac:dyDescent="0.25">
      <c r="A67" s="23" t="s">
        <v>124</v>
      </c>
      <c r="B67" s="5">
        <v>80</v>
      </c>
      <c r="C67" s="5">
        <f t="shared" si="15"/>
        <v>16</v>
      </c>
      <c r="D67" s="5">
        <v>87</v>
      </c>
      <c r="E67" s="5">
        <f t="shared" si="16"/>
        <v>17.400000000000002</v>
      </c>
      <c r="F67" s="5">
        <v>100</v>
      </c>
      <c r="G67" s="5">
        <f t="shared" si="17"/>
        <v>10</v>
      </c>
      <c r="H67" s="5">
        <f t="shared" si="18"/>
        <v>43.400000000000006</v>
      </c>
      <c r="I67" s="5">
        <v>88</v>
      </c>
      <c r="J67" s="5">
        <f t="shared" si="19"/>
        <v>44</v>
      </c>
      <c r="K67" s="5">
        <f t="shared" si="20"/>
        <v>87.4</v>
      </c>
    </row>
    <row r="68" spans="1:11" ht="15.75" x14ac:dyDescent="0.25">
      <c r="A68" s="23" t="s">
        <v>125</v>
      </c>
      <c r="B68" s="5">
        <v>90</v>
      </c>
      <c r="C68" s="5">
        <f t="shared" si="15"/>
        <v>18</v>
      </c>
      <c r="D68" s="5">
        <v>68</v>
      </c>
      <c r="E68" s="5">
        <f t="shared" si="16"/>
        <v>13.600000000000001</v>
      </c>
      <c r="F68" s="5">
        <v>100</v>
      </c>
      <c r="G68" s="5">
        <f t="shared" si="17"/>
        <v>10</v>
      </c>
      <c r="H68" s="5">
        <f t="shared" si="18"/>
        <v>41.6</v>
      </c>
      <c r="I68" s="5">
        <v>82</v>
      </c>
      <c r="J68" s="5">
        <f t="shared" si="19"/>
        <v>41</v>
      </c>
      <c r="K68" s="5">
        <f t="shared" si="20"/>
        <v>82.6</v>
      </c>
    </row>
    <row r="69" spans="1:11" ht="15.75" x14ac:dyDescent="0.25">
      <c r="A69" s="23" t="s">
        <v>126</v>
      </c>
      <c r="B69" s="5">
        <v>100</v>
      </c>
      <c r="C69" s="5">
        <f t="shared" si="15"/>
        <v>20</v>
      </c>
      <c r="D69" s="5">
        <v>88</v>
      </c>
      <c r="E69" s="5">
        <f t="shared" si="16"/>
        <v>17.600000000000001</v>
      </c>
      <c r="F69" s="5">
        <v>100</v>
      </c>
      <c r="G69" s="5">
        <f t="shared" si="17"/>
        <v>10</v>
      </c>
      <c r="H69" s="5">
        <f t="shared" si="18"/>
        <v>47.6</v>
      </c>
      <c r="I69" s="5">
        <v>100</v>
      </c>
      <c r="J69" s="5">
        <f t="shared" si="19"/>
        <v>50</v>
      </c>
      <c r="K69" s="5">
        <f t="shared" si="20"/>
        <v>97.6</v>
      </c>
    </row>
    <row r="70" spans="1:11" ht="15.75" x14ac:dyDescent="0.25">
      <c r="A70" s="23" t="s">
        <v>127</v>
      </c>
      <c r="B70" s="5">
        <v>100</v>
      </c>
      <c r="C70" s="5">
        <f t="shared" si="15"/>
        <v>20</v>
      </c>
      <c r="D70" s="5">
        <v>96</v>
      </c>
      <c r="E70" s="5">
        <f t="shared" si="16"/>
        <v>19.200000000000003</v>
      </c>
      <c r="F70" s="5">
        <v>100</v>
      </c>
      <c r="G70" s="5">
        <f t="shared" si="17"/>
        <v>10</v>
      </c>
      <c r="H70" s="5">
        <f t="shared" si="18"/>
        <v>49.2</v>
      </c>
      <c r="I70" s="5">
        <v>98</v>
      </c>
      <c r="J70" s="5">
        <f t="shared" si="19"/>
        <v>49</v>
      </c>
      <c r="K70" s="5">
        <f t="shared" si="20"/>
        <v>98.2</v>
      </c>
    </row>
    <row r="71" spans="1:11" ht="15.75" x14ac:dyDescent="0.25">
      <c r="A71" s="23" t="s">
        <v>128</v>
      </c>
      <c r="B71" s="5">
        <v>80</v>
      </c>
      <c r="C71" s="5">
        <f t="shared" si="15"/>
        <v>16</v>
      </c>
      <c r="D71" s="5">
        <v>82</v>
      </c>
      <c r="E71" s="5">
        <f t="shared" si="16"/>
        <v>16.400000000000002</v>
      </c>
      <c r="F71" s="5">
        <v>100</v>
      </c>
      <c r="G71" s="5">
        <f t="shared" si="17"/>
        <v>10</v>
      </c>
      <c r="H71" s="5">
        <f t="shared" si="18"/>
        <v>42.400000000000006</v>
      </c>
      <c r="I71" s="5">
        <v>93</v>
      </c>
      <c r="J71" s="5">
        <f t="shared" si="19"/>
        <v>46.5</v>
      </c>
      <c r="K71" s="5">
        <f t="shared" si="20"/>
        <v>88.9</v>
      </c>
    </row>
    <row r="72" spans="1:11" ht="15.75" x14ac:dyDescent="0.25">
      <c r="A72" s="23" t="s">
        <v>129</v>
      </c>
      <c r="B72" s="5">
        <v>40</v>
      </c>
      <c r="C72" s="5">
        <f t="shared" si="15"/>
        <v>8</v>
      </c>
      <c r="D72" s="5">
        <v>62</v>
      </c>
      <c r="E72" s="5">
        <f t="shared" si="16"/>
        <v>12.4</v>
      </c>
      <c r="F72" s="5">
        <v>100</v>
      </c>
      <c r="G72" s="5">
        <f t="shared" si="17"/>
        <v>10</v>
      </c>
      <c r="H72" s="5">
        <f t="shared" si="18"/>
        <v>30.4</v>
      </c>
      <c r="I72" s="5">
        <v>77</v>
      </c>
      <c r="J72" s="5">
        <f t="shared" si="19"/>
        <v>38.5</v>
      </c>
      <c r="K72" s="5">
        <f t="shared" si="20"/>
        <v>68.900000000000006</v>
      </c>
    </row>
    <row r="73" spans="1:11" ht="15.75" x14ac:dyDescent="0.25">
      <c r="A73" s="23" t="s">
        <v>130</v>
      </c>
      <c r="B73" s="5">
        <v>100</v>
      </c>
      <c r="C73" s="5">
        <f t="shared" si="15"/>
        <v>20</v>
      </c>
      <c r="D73" s="5">
        <v>87</v>
      </c>
      <c r="E73" s="5">
        <f t="shared" si="16"/>
        <v>17.400000000000002</v>
      </c>
      <c r="F73" s="5">
        <v>100</v>
      </c>
      <c r="G73" s="5">
        <f t="shared" si="17"/>
        <v>10</v>
      </c>
      <c r="H73" s="5">
        <f t="shared" si="18"/>
        <v>47.400000000000006</v>
      </c>
      <c r="I73" s="5">
        <v>79</v>
      </c>
      <c r="J73" s="5">
        <f t="shared" si="19"/>
        <v>39.5</v>
      </c>
      <c r="K73" s="5">
        <f t="shared" si="20"/>
        <v>86.9</v>
      </c>
    </row>
    <row r="74" spans="1:11" ht="15.75" x14ac:dyDescent="0.25">
      <c r="A74" s="23" t="s">
        <v>131</v>
      </c>
      <c r="B74" s="5">
        <v>75</v>
      </c>
      <c r="C74" s="5">
        <f t="shared" si="15"/>
        <v>15</v>
      </c>
      <c r="D74" s="5">
        <v>73</v>
      </c>
      <c r="E74" s="5">
        <f t="shared" si="16"/>
        <v>14.600000000000001</v>
      </c>
      <c r="F74" s="5">
        <v>100</v>
      </c>
      <c r="G74" s="5">
        <f t="shared" si="17"/>
        <v>10</v>
      </c>
      <c r="H74" s="5">
        <f t="shared" si="18"/>
        <v>39.6</v>
      </c>
      <c r="I74" s="5">
        <v>80</v>
      </c>
      <c r="J74" s="5">
        <f t="shared" si="19"/>
        <v>40</v>
      </c>
      <c r="K74" s="5">
        <f t="shared" si="20"/>
        <v>79.599999999999994</v>
      </c>
    </row>
    <row r="75" spans="1:11" ht="15.75" x14ac:dyDescent="0.25">
      <c r="A75" s="23" t="s">
        <v>132</v>
      </c>
      <c r="B75" s="5">
        <v>100</v>
      </c>
      <c r="C75" s="5">
        <f t="shared" si="15"/>
        <v>20</v>
      </c>
      <c r="D75" s="5">
        <v>100</v>
      </c>
      <c r="E75" s="5">
        <f t="shared" si="16"/>
        <v>20</v>
      </c>
      <c r="F75" s="5">
        <v>100</v>
      </c>
      <c r="G75" s="5">
        <f t="shared" si="17"/>
        <v>10</v>
      </c>
      <c r="H75" s="5">
        <f t="shared" si="18"/>
        <v>50</v>
      </c>
      <c r="I75" s="5">
        <v>92</v>
      </c>
      <c r="J75" s="5">
        <f t="shared" si="19"/>
        <v>46</v>
      </c>
      <c r="K75" s="5">
        <f t="shared" si="20"/>
        <v>96</v>
      </c>
    </row>
    <row r="76" spans="1:11" ht="15.75" x14ac:dyDescent="0.25">
      <c r="A76" s="23" t="s">
        <v>133</v>
      </c>
      <c r="B76" s="5">
        <v>100</v>
      </c>
      <c r="C76" s="5">
        <f t="shared" si="15"/>
        <v>20</v>
      </c>
      <c r="D76" s="5">
        <v>82</v>
      </c>
      <c r="E76" s="5">
        <f t="shared" si="16"/>
        <v>16.400000000000002</v>
      </c>
      <c r="F76" s="5">
        <v>100</v>
      </c>
      <c r="G76" s="5">
        <f t="shared" si="17"/>
        <v>10</v>
      </c>
      <c r="H76" s="5">
        <f t="shared" si="18"/>
        <v>46.400000000000006</v>
      </c>
      <c r="I76" s="5">
        <v>94</v>
      </c>
      <c r="J76" s="5">
        <f t="shared" si="19"/>
        <v>47</v>
      </c>
      <c r="K76" s="5">
        <f t="shared" si="20"/>
        <v>93.4</v>
      </c>
    </row>
    <row r="77" spans="1:11" ht="15.75" x14ac:dyDescent="0.25">
      <c r="A77" s="23" t="s">
        <v>134</v>
      </c>
      <c r="B77" s="5">
        <v>100</v>
      </c>
      <c r="C77" s="5">
        <f t="shared" si="15"/>
        <v>20</v>
      </c>
      <c r="D77" s="5">
        <v>100</v>
      </c>
      <c r="E77" s="5">
        <f t="shared" si="16"/>
        <v>20</v>
      </c>
      <c r="F77" s="5">
        <v>100</v>
      </c>
      <c r="G77" s="5">
        <f t="shared" si="17"/>
        <v>10</v>
      </c>
      <c r="H77" s="5">
        <f t="shared" si="18"/>
        <v>50</v>
      </c>
      <c r="I77" s="5">
        <v>97</v>
      </c>
      <c r="J77" s="5">
        <f t="shared" si="19"/>
        <v>48.5</v>
      </c>
      <c r="K77" s="5">
        <f t="shared" si="20"/>
        <v>98.5</v>
      </c>
    </row>
    <row r="78" spans="1:11" ht="15.75" x14ac:dyDescent="0.25">
      <c r="A78" s="23" t="s">
        <v>135</v>
      </c>
      <c r="B78" s="5">
        <v>100</v>
      </c>
      <c r="C78" s="5">
        <f t="shared" si="15"/>
        <v>20</v>
      </c>
      <c r="D78" s="5">
        <v>90</v>
      </c>
      <c r="E78" s="5">
        <f t="shared" si="16"/>
        <v>18</v>
      </c>
      <c r="F78" s="5">
        <v>100</v>
      </c>
      <c r="G78" s="5">
        <f t="shared" si="17"/>
        <v>10</v>
      </c>
      <c r="H78" s="5">
        <f t="shared" si="18"/>
        <v>48</v>
      </c>
      <c r="I78" s="5">
        <v>100</v>
      </c>
      <c r="J78" s="5">
        <f t="shared" si="19"/>
        <v>50</v>
      </c>
      <c r="K78" s="5">
        <f t="shared" si="20"/>
        <v>98</v>
      </c>
    </row>
    <row r="79" spans="1:11" ht="15.75" x14ac:dyDescent="0.25">
      <c r="A79" s="23" t="s">
        <v>136</v>
      </c>
      <c r="B79" s="5">
        <v>90</v>
      </c>
      <c r="C79" s="5">
        <f t="shared" si="15"/>
        <v>18</v>
      </c>
      <c r="D79" s="5">
        <v>79</v>
      </c>
      <c r="E79" s="5">
        <f t="shared" si="16"/>
        <v>15.8</v>
      </c>
      <c r="F79" s="5">
        <v>100</v>
      </c>
      <c r="G79" s="5">
        <f t="shared" si="17"/>
        <v>10</v>
      </c>
      <c r="H79" s="5">
        <f t="shared" si="18"/>
        <v>43.8</v>
      </c>
      <c r="I79" s="5">
        <v>72</v>
      </c>
      <c r="J79" s="5">
        <f t="shared" si="19"/>
        <v>36</v>
      </c>
      <c r="K79" s="5">
        <f t="shared" si="20"/>
        <v>79.8</v>
      </c>
    </row>
    <row r="80" spans="1:11" ht="15.75" x14ac:dyDescent="0.25">
      <c r="A80" s="23" t="s">
        <v>137</v>
      </c>
      <c r="B80" s="5">
        <v>100</v>
      </c>
      <c r="C80" s="5">
        <f t="shared" si="15"/>
        <v>20</v>
      </c>
      <c r="D80" s="5">
        <v>96</v>
      </c>
      <c r="E80" s="5">
        <f t="shared" si="16"/>
        <v>19.200000000000003</v>
      </c>
      <c r="F80" s="5">
        <v>100</v>
      </c>
      <c r="G80" s="5">
        <f t="shared" si="17"/>
        <v>10</v>
      </c>
      <c r="H80" s="5">
        <f t="shared" si="18"/>
        <v>49.2</v>
      </c>
      <c r="I80" s="5">
        <v>100</v>
      </c>
      <c r="J80" s="5">
        <f t="shared" si="19"/>
        <v>50</v>
      </c>
      <c r="K80" s="5">
        <f t="shared" si="20"/>
        <v>99.2</v>
      </c>
    </row>
  </sheetData>
  <mergeCells count="1">
    <mergeCell ref="D1:J1"/>
  </mergeCells>
  <pageMargins left="0.7" right="0.7" top="0.75" bottom="0.75" header="0.3" footer="0.3"/>
  <ignoredErrors>
    <ignoredError sqref="D30:D32" formula="1"/>
  </ignoredErrors>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C00E4-F2F2-4E7C-A330-1CBF6C10AACB}">
  <sheetPr codeName="Sheet17"/>
  <dimension ref="A1:P80"/>
  <sheetViews>
    <sheetView topLeftCell="A6" workbookViewId="0">
      <selection activeCell="P57" sqref="P57"/>
    </sheetView>
  </sheetViews>
  <sheetFormatPr defaultColWidth="8.7109375" defaultRowHeight="15" x14ac:dyDescent="0.25"/>
  <cols>
    <col min="1" max="1" width="29.42578125" bestFit="1" customWidth="1"/>
    <col min="3" max="3" width="10.28515625" bestFit="1" customWidth="1"/>
    <col min="4" max="4" width="11.5703125" customWidth="1"/>
    <col min="5" max="5" width="16.42578125" customWidth="1"/>
    <col min="6" max="6" width="15.85546875" customWidth="1"/>
    <col min="7" max="7" width="9.5703125" customWidth="1"/>
    <col min="8" max="8" width="5.42578125" customWidth="1"/>
    <col min="9" max="9" width="14.42578125" customWidth="1"/>
    <col min="10" max="10" width="19.140625" customWidth="1"/>
    <col min="16" max="16" width="15.140625" customWidth="1"/>
  </cols>
  <sheetData>
    <row r="1" spans="1:16" x14ac:dyDescent="0.25">
      <c r="D1" s="68"/>
      <c r="E1" s="68"/>
      <c r="F1" s="68"/>
      <c r="G1" s="68"/>
      <c r="H1" s="68"/>
      <c r="I1" s="68"/>
      <c r="J1" s="68"/>
    </row>
    <row r="2" spans="1:16" x14ac:dyDescent="0.25">
      <c r="A2" t="s">
        <v>0</v>
      </c>
      <c r="B2" t="s">
        <v>1</v>
      </c>
      <c r="C2" t="s">
        <v>48</v>
      </c>
      <c r="D2" t="s">
        <v>3</v>
      </c>
      <c r="E2" t="s">
        <v>49</v>
      </c>
      <c r="F2" t="s">
        <v>50</v>
      </c>
      <c r="G2" t="s">
        <v>51</v>
      </c>
      <c r="H2" t="s">
        <v>52</v>
      </c>
      <c r="I2" t="s">
        <v>2</v>
      </c>
      <c r="J2" t="s">
        <v>4</v>
      </c>
      <c r="K2" t="s">
        <v>5</v>
      </c>
    </row>
    <row r="3" spans="1:16" x14ac:dyDescent="0.25">
      <c r="A3" t="s">
        <v>20</v>
      </c>
      <c r="B3">
        <v>90</v>
      </c>
      <c r="C3">
        <f>B3*20%</f>
        <v>18</v>
      </c>
      <c r="D3">
        <v>98</v>
      </c>
      <c r="E3">
        <f>D3*20%</f>
        <v>19.600000000000001</v>
      </c>
      <c r="F3">
        <v>100</v>
      </c>
      <c r="G3">
        <f>F3*10%</f>
        <v>10</v>
      </c>
      <c r="H3">
        <f>C3+E3+G3</f>
        <v>47.6</v>
      </c>
      <c r="I3">
        <v>94</v>
      </c>
      <c r="J3">
        <f>I3*50%</f>
        <v>47</v>
      </c>
      <c r="K3">
        <f>ROUND(Table13[[#This Row],[IAS]]+Table13[[#This Row],[END OF TERM(50%)]],0)</f>
        <v>95</v>
      </c>
      <c r="N3" t="s">
        <v>36</v>
      </c>
      <c r="O3" t="s">
        <v>37</v>
      </c>
      <c r="P3" t="s">
        <v>38</v>
      </c>
    </row>
    <row r="4" spans="1:16" x14ac:dyDescent="0.25">
      <c r="A4" t="s">
        <v>18</v>
      </c>
      <c r="B4">
        <v>90</v>
      </c>
      <c r="C4">
        <f t="shared" ref="C4:C29" si="0">B4*20%</f>
        <v>18</v>
      </c>
      <c r="D4">
        <v>63</v>
      </c>
      <c r="E4">
        <f t="shared" ref="E4:E29" si="1">D4*20%</f>
        <v>12.600000000000001</v>
      </c>
      <c r="F4">
        <v>100</v>
      </c>
      <c r="G4">
        <f>F4*10%</f>
        <v>10</v>
      </c>
      <c r="H4">
        <f t="shared" ref="H4:H29" si="2">C4+E4+G4</f>
        <v>40.6</v>
      </c>
      <c r="I4">
        <v>86</v>
      </c>
      <c r="J4">
        <f>I4*50%</f>
        <v>43</v>
      </c>
      <c r="K4">
        <f>ROUND(Table13[[#This Row],[IAS]]+Table13[[#This Row],[END OF TERM(50%)]],0)</f>
        <v>84</v>
      </c>
      <c r="M4" t="s">
        <v>33</v>
      </c>
      <c r="N4">
        <f ca="1">AVERAGE(B3:B80)</f>
        <v>81.256410256410263</v>
      </c>
      <c r="O4">
        <f ca="1">AVERAGE(D3:D80)</f>
        <v>83.666666666666671</v>
      </c>
      <c r="P4">
        <f ca="1">AVERAGE(I3:I80)</f>
        <v>80.948717948717942</v>
      </c>
    </row>
    <row r="5" spans="1:16" x14ac:dyDescent="0.25">
      <c r="A5" t="s">
        <v>32</v>
      </c>
      <c r="B5">
        <v>80</v>
      </c>
      <c r="C5">
        <f t="shared" si="0"/>
        <v>16</v>
      </c>
      <c r="D5">
        <v>94</v>
      </c>
      <c r="E5">
        <f t="shared" si="1"/>
        <v>18.8</v>
      </c>
      <c r="F5">
        <v>100</v>
      </c>
      <c r="G5">
        <f t="shared" ref="G5:G29" si="3">F5*10%</f>
        <v>10</v>
      </c>
      <c r="H5">
        <f t="shared" si="2"/>
        <v>44.8</v>
      </c>
      <c r="I5">
        <v>92</v>
      </c>
      <c r="J5">
        <f t="shared" ref="J5:J29" si="4">I5*50%</f>
        <v>46</v>
      </c>
      <c r="K5">
        <f>ROUND(Table13[[#This Row],[IAS]]+Table13[[#This Row],[END OF TERM(50%)]],0)</f>
        <v>91</v>
      </c>
      <c r="M5" t="s">
        <v>34</v>
      </c>
      <c r="N5">
        <f ca="1">MAX(B3:B80)</f>
        <v>100</v>
      </c>
      <c r="O5">
        <f ca="1">MAX(D3:D80)</f>
        <v>98</v>
      </c>
      <c r="P5">
        <f ca="1">MAX(I3:I80)</f>
        <v>98</v>
      </c>
    </row>
    <row r="6" spans="1:16" x14ac:dyDescent="0.25">
      <c r="A6" t="s">
        <v>7</v>
      </c>
      <c r="B6">
        <v>90</v>
      </c>
      <c r="C6">
        <f t="shared" si="0"/>
        <v>18</v>
      </c>
      <c r="D6">
        <v>93</v>
      </c>
      <c r="E6">
        <f t="shared" si="1"/>
        <v>18.600000000000001</v>
      </c>
      <c r="F6">
        <v>100</v>
      </c>
      <c r="G6">
        <f t="shared" si="3"/>
        <v>10</v>
      </c>
      <c r="H6">
        <f t="shared" si="2"/>
        <v>46.6</v>
      </c>
      <c r="I6">
        <v>92</v>
      </c>
      <c r="J6">
        <f t="shared" si="4"/>
        <v>46</v>
      </c>
      <c r="K6">
        <f>ROUND(Table13[[#This Row],[IAS]]+Table13[[#This Row],[END OF TERM(50%)]],0)</f>
        <v>93</v>
      </c>
      <c r="M6" t="s">
        <v>35</v>
      </c>
      <c r="N6">
        <f ca="1">MIN(B3:B80)</f>
        <v>50</v>
      </c>
      <c r="O6">
        <f ca="1">MIN(D3:D80)</f>
        <v>55</v>
      </c>
      <c r="P6">
        <f ca="1">MIN(J3:J80)</f>
        <v>21</v>
      </c>
    </row>
    <row r="7" spans="1:16" x14ac:dyDescent="0.25">
      <c r="A7" t="s">
        <v>19</v>
      </c>
      <c r="B7">
        <v>100</v>
      </c>
      <c r="C7">
        <f t="shared" si="0"/>
        <v>20</v>
      </c>
      <c r="D7">
        <v>64</v>
      </c>
      <c r="E7">
        <f t="shared" si="1"/>
        <v>12.8</v>
      </c>
      <c r="F7">
        <v>100</v>
      </c>
      <c r="G7">
        <f t="shared" si="3"/>
        <v>10</v>
      </c>
      <c r="H7">
        <f t="shared" si="2"/>
        <v>42.8</v>
      </c>
      <c r="I7">
        <v>86</v>
      </c>
      <c r="J7">
        <f t="shared" si="4"/>
        <v>43</v>
      </c>
      <c r="K7">
        <f>ROUND(Table13[[#This Row],[IAS]]+Table13[[#This Row],[END OF TERM(50%)]],0)</f>
        <v>86</v>
      </c>
    </row>
    <row r="8" spans="1:16" x14ac:dyDescent="0.25">
      <c r="A8" t="s">
        <v>9</v>
      </c>
      <c r="B8">
        <v>80</v>
      </c>
      <c r="C8">
        <f t="shared" si="0"/>
        <v>16</v>
      </c>
      <c r="D8">
        <v>95</v>
      </c>
      <c r="E8">
        <f t="shared" si="1"/>
        <v>19</v>
      </c>
      <c r="F8">
        <v>100</v>
      </c>
      <c r="G8">
        <f t="shared" si="3"/>
        <v>10</v>
      </c>
      <c r="H8">
        <f t="shared" si="2"/>
        <v>45</v>
      </c>
      <c r="I8">
        <v>85</v>
      </c>
      <c r="J8">
        <f t="shared" si="4"/>
        <v>42.5</v>
      </c>
      <c r="K8">
        <f>ROUND(Table13[[#This Row],[IAS]]+Table13[[#This Row],[END OF TERM(50%)]],0)</f>
        <v>88</v>
      </c>
    </row>
    <row r="9" spans="1:16" x14ac:dyDescent="0.25">
      <c r="A9" t="s">
        <v>21</v>
      </c>
      <c r="B9">
        <v>100</v>
      </c>
      <c r="C9">
        <f t="shared" si="0"/>
        <v>20</v>
      </c>
      <c r="D9">
        <v>86</v>
      </c>
      <c r="E9">
        <f t="shared" si="1"/>
        <v>17.2</v>
      </c>
      <c r="F9">
        <v>100</v>
      </c>
      <c r="G9">
        <f t="shared" si="3"/>
        <v>10</v>
      </c>
      <c r="H9">
        <f t="shared" si="2"/>
        <v>47.2</v>
      </c>
      <c r="I9">
        <v>98</v>
      </c>
      <c r="J9">
        <f t="shared" si="4"/>
        <v>49</v>
      </c>
      <c r="K9">
        <f>ROUND(Table13[[#This Row],[IAS]]+Table13[[#This Row],[END OF TERM(50%)]],0)</f>
        <v>96</v>
      </c>
    </row>
    <row r="10" spans="1:16" x14ac:dyDescent="0.25">
      <c r="A10" t="s">
        <v>8</v>
      </c>
      <c r="B10">
        <v>90</v>
      </c>
      <c r="C10">
        <f t="shared" si="0"/>
        <v>18</v>
      </c>
      <c r="D10">
        <v>87</v>
      </c>
      <c r="E10">
        <f t="shared" si="1"/>
        <v>17.400000000000002</v>
      </c>
      <c r="F10">
        <v>100</v>
      </c>
      <c r="G10">
        <f t="shared" si="3"/>
        <v>10</v>
      </c>
      <c r="H10">
        <f t="shared" si="2"/>
        <v>45.400000000000006</v>
      </c>
      <c r="I10">
        <v>85</v>
      </c>
      <c r="J10">
        <f t="shared" si="4"/>
        <v>42.5</v>
      </c>
      <c r="K10">
        <f>ROUND(Table13[[#This Row],[IAS]]+Table13[[#This Row],[END OF TERM(50%)]],0)</f>
        <v>88</v>
      </c>
    </row>
    <row r="11" spans="1:16" x14ac:dyDescent="0.25">
      <c r="A11" t="s">
        <v>10</v>
      </c>
      <c r="B11">
        <v>100</v>
      </c>
      <c r="C11">
        <f t="shared" si="0"/>
        <v>20</v>
      </c>
      <c r="D11">
        <v>94</v>
      </c>
      <c r="E11">
        <f t="shared" si="1"/>
        <v>18.8</v>
      </c>
      <c r="F11">
        <v>100</v>
      </c>
      <c r="G11">
        <f t="shared" si="3"/>
        <v>10</v>
      </c>
      <c r="H11">
        <f t="shared" si="2"/>
        <v>48.8</v>
      </c>
      <c r="I11">
        <v>91</v>
      </c>
      <c r="J11">
        <f t="shared" si="4"/>
        <v>45.5</v>
      </c>
      <c r="K11">
        <f>ROUND(Table13[[#This Row],[IAS]]+Table13[[#This Row],[END OF TERM(50%)]],0)</f>
        <v>94</v>
      </c>
    </row>
    <row r="12" spans="1:16" x14ac:dyDescent="0.25">
      <c r="A12" t="s">
        <v>6</v>
      </c>
      <c r="B12">
        <v>60</v>
      </c>
      <c r="C12">
        <f t="shared" si="0"/>
        <v>12</v>
      </c>
      <c r="D12">
        <v>88</v>
      </c>
      <c r="E12">
        <f t="shared" si="1"/>
        <v>17.600000000000001</v>
      </c>
      <c r="F12">
        <v>100</v>
      </c>
      <c r="G12">
        <f t="shared" si="3"/>
        <v>10</v>
      </c>
      <c r="H12">
        <f t="shared" si="2"/>
        <v>39.6</v>
      </c>
      <c r="I12">
        <v>90</v>
      </c>
      <c r="J12">
        <f t="shared" si="4"/>
        <v>45</v>
      </c>
      <c r="K12">
        <f>ROUND(Table13[[#This Row],[IAS]]+Table13[[#This Row],[END OF TERM(50%)]],0)</f>
        <v>85</v>
      </c>
    </row>
    <row r="13" spans="1:16" x14ac:dyDescent="0.25">
      <c r="A13" t="s">
        <v>17</v>
      </c>
      <c r="B13">
        <v>100</v>
      </c>
      <c r="C13">
        <f t="shared" si="0"/>
        <v>20</v>
      </c>
      <c r="D13">
        <v>74</v>
      </c>
      <c r="E13">
        <f t="shared" si="1"/>
        <v>14.8</v>
      </c>
      <c r="F13">
        <v>100</v>
      </c>
      <c r="G13">
        <f t="shared" si="3"/>
        <v>10</v>
      </c>
      <c r="H13">
        <f t="shared" si="2"/>
        <v>44.8</v>
      </c>
      <c r="I13">
        <v>72</v>
      </c>
      <c r="J13">
        <f t="shared" si="4"/>
        <v>36</v>
      </c>
      <c r="K13">
        <f>ROUND(Table13[[#This Row],[IAS]]+Table13[[#This Row],[END OF TERM(50%)]],0)</f>
        <v>81</v>
      </c>
    </row>
    <row r="14" spans="1:16" x14ac:dyDescent="0.25">
      <c r="A14" t="s">
        <v>22</v>
      </c>
      <c r="B14">
        <v>100</v>
      </c>
      <c r="C14">
        <f t="shared" si="0"/>
        <v>20</v>
      </c>
      <c r="D14">
        <v>71</v>
      </c>
      <c r="E14">
        <f t="shared" si="1"/>
        <v>14.200000000000001</v>
      </c>
      <c r="F14">
        <v>100</v>
      </c>
      <c r="G14">
        <f t="shared" si="3"/>
        <v>10</v>
      </c>
      <c r="H14">
        <f t="shared" si="2"/>
        <v>44.2</v>
      </c>
      <c r="I14">
        <v>96</v>
      </c>
      <c r="J14">
        <f t="shared" si="4"/>
        <v>48</v>
      </c>
      <c r="K14">
        <f>ROUND(Table13[[#This Row],[IAS]]+Table13[[#This Row],[END OF TERM(50%)]],0)</f>
        <v>92</v>
      </c>
    </row>
    <row r="15" spans="1:16" x14ac:dyDescent="0.25">
      <c r="A15" t="s">
        <v>11</v>
      </c>
      <c r="B15">
        <v>90</v>
      </c>
      <c r="C15">
        <f t="shared" si="0"/>
        <v>18</v>
      </c>
      <c r="D15">
        <v>95</v>
      </c>
      <c r="E15">
        <f t="shared" si="1"/>
        <v>19</v>
      </c>
      <c r="F15">
        <v>100</v>
      </c>
      <c r="G15">
        <f t="shared" si="3"/>
        <v>10</v>
      </c>
      <c r="H15">
        <f t="shared" si="2"/>
        <v>47</v>
      </c>
      <c r="I15">
        <v>94</v>
      </c>
      <c r="J15">
        <f t="shared" si="4"/>
        <v>47</v>
      </c>
      <c r="K15">
        <f>ROUND(Table13[[#This Row],[IAS]]+Table13[[#This Row],[END OF TERM(50%)]],0)</f>
        <v>94</v>
      </c>
    </row>
    <row r="16" spans="1:16" x14ac:dyDescent="0.25">
      <c r="A16" t="s">
        <v>23</v>
      </c>
      <c r="B16">
        <v>80</v>
      </c>
      <c r="C16">
        <f t="shared" si="0"/>
        <v>16</v>
      </c>
      <c r="D16">
        <v>82</v>
      </c>
      <c r="E16">
        <f t="shared" si="1"/>
        <v>16.400000000000002</v>
      </c>
      <c r="F16">
        <v>100</v>
      </c>
      <c r="G16">
        <f t="shared" si="3"/>
        <v>10</v>
      </c>
      <c r="H16">
        <f t="shared" si="2"/>
        <v>42.400000000000006</v>
      </c>
      <c r="I16">
        <v>85</v>
      </c>
      <c r="J16">
        <f t="shared" si="4"/>
        <v>42.5</v>
      </c>
      <c r="K16">
        <f>ROUND(Table13[[#This Row],[IAS]]+Table13[[#This Row],[END OF TERM(50%)]],0)</f>
        <v>85</v>
      </c>
    </row>
    <row r="17" spans="1:11" x14ac:dyDescent="0.25">
      <c r="A17" t="s">
        <v>12</v>
      </c>
      <c r="B17">
        <v>80</v>
      </c>
      <c r="C17">
        <f t="shared" si="0"/>
        <v>16</v>
      </c>
      <c r="D17">
        <v>72</v>
      </c>
      <c r="E17">
        <f t="shared" si="1"/>
        <v>14.4</v>
      </c>
      <c r="F17">
        <v>100</v>
      </c>
      <c r="G17">
        <f t="shared" si="3"/>
        <v>10</v>
      </c>
      <c r="H17">
        <f t="shared" si="2"/>
        <v>40.4</v>
      </c>
      <c r="I17">
        <v>81</v>
      </c>
      <c r="J17">
        <f t="shared" si="4"/>
        <v>40.5</v>
      </c>
      <c r="K17">
        <f>ROUND(Table13[[#This Row],[IAS]]+Table13[[#This Row],[END OF TERM(50%)]],0)</f>
        <v>81</v>
      </c>
    </row>
    <row r="18" spans="1:11" x14ac:dyDescent="0.25">
      <c r="A18" t="s">
        <v>13</v>
      </c>
      <c r="B18">
        <v>100</v>
      </c>
      <c r="C18">
        <f t="shared" si="0"/>
        <v>20</v>
      </c>
      <c r="D18">
        <v>55</v>
      </c>
      <c r="E18">
        <f t="shared" si="1"/>
        <v>11</v>
      </c>
      <c r="F18">
        <v>100</v>
      </c>
      <c r="G18">
        <f t="shared" si="3"/>
        <v>10</v>
      </c>
      <c r="H18">
        <f t="shared" si="2"/>
        <v>41</v>
      </c>
      <c r="I18">
        <v>91</v>
      </c>
      <c r="J18">
        <f t="shared" si="4"/>
        <v>45.5</v>
      </c>
      <c r="K18">
        <f>ROUND(Table13[[#This Row],[IAS]]+Table13[[#This Row],[END OF TERM(50%)]],0)</f>
        <v>87</v>
      </c>
    </row>
    <row r="19" spans="1:11" x14ac:dyDescent="0.25">
      <c r="A19" t="s">
        <v>27</v>
      </c>
      <c r="B19">
        <v>80</v>
      </c>
      <c r="C19">
        <f t="shared" si="0"/>
        <v>16</v>
      </c>
      <c r="D19">
        <v>89</v>
      </c>
      <c r="E19">
        <f t="shared" si="1"/>
        <v>17.8</v>
      </c>
      <c r="F19">
        <v>100</v>
      </c>
      <c r="G19">
        <f t="shared" si="3"/>
        <v>10</v>
      </c>
      <c r="H19">
        <f t="shared" si="2"/>
        <v>43.8</v>
      </c>
      <c r="I19">
        <v>88</v>
      </c>
      <c r="J19">
        <f t="shared" si="4"/>
        <v>44</v>
      </c>
      <c r="K19">
        <f>ROUND(Table13[[#This Row],[IAS]]+Table13[[#This Row],[END OF TERM(50%)]],0)</f>
        <v>88</v>
      </c>
    </row>
    <row r="20" spans="1:11" x14ac:dyDescent="0.25">
      <c r="A20" t="s">
        <v>24</v>
      </c>
      <c r="B20">
        <v>90</v>
      </c>
      <c r="C20">
        <f t="shared" si="0"/>
        <v>18</v>
      </c>
      <c r="D20">
        <v>84</v>
      </c>
      <c r="E20">
        <f t="shared" si="1"/>
        <v>16.8</v>
      </c>
      <c r="F20">
        <v>100</v>
      </c>
      <c r="G20">
        <f t="shared" si="3"/>
        <v>10</v>
      </c>
      <c r="H20">
        <f t="shared" si="2"/>
        <v>44.8</v>
      </c>
      <c r="I20">
        <v>91</v>
      </c>
      <c r="J20">
        <f t="shared" si="4"/>
        <v>45.5</v>
      </c>
      <c r="K20">
        <f>ROUND(Table13[[#This Row],[IAS]]+Table13[[#This Row],[END OF TERM(50%)]],0)</f>
        <v>90</v>
      </c>
    </row>
    <row r="21" spans="1:11" x14ac:dyDescent="0.25">
      <c r="A21" t="s">
        <v>26</v>
      </c>
      <c r="B21">
        <v>100</v>
      </c>
      <c r="C21">
        <f t="shared" si="0"/>
        <v>20</v>
      </c>
      <c r="D21">
        <v>93</v>
      </c>
      <c r="E21">
        <f t="shared" si="1"/>
        <v>18.600000000000001</v>
      </c>
      <c r="F21">
        <v>100</v>
      </c>
      <c r="G21">
        <f t="shared" si="3"/>
        <v>10</v>
      </c>
      <c r="H21">
        <f t="shared" si="2"/>
        <v>48.6</v>
      </c>
      <c r="I21">
        <v>85</v>
      </c>
      <c r="J21">
        <f t="shared" si="4"/>
        <v>42.5</v>
      </c>
      <c r="K21">
        <f>ROUND(Table13[[#This Row],[IAS]]+Table13[[#This Row],[END OF TERM(50%)]],0)</f>
        <v>91</v>
      </c>
    </row>
    <row r="22" spans="1:11" x14ac:dyDescent="0.25">
      <c r="A22" t="s">
        <v>28</v>
      </c>
      <c r="B22">
        <v>50</v>
      </c>
      <c r="C22">
        <f t="shared" si="0"/>
        <v>10</v>
      </c>
      <c r="D22">
        <v>72</v>
      </c>
      <c r="E22">
        <f t="shared" si="1"/>
        <v>14.4</v>
      </c>
      <c r="F22">
        <v>100</v>
      </c>
      <c r="G22">
        <f t="shared" si="3"/>
        <v>10</v>
      </c>
      <c r="H22">
        <f t="shared" si="2"/>
        <v>34.4</v>
      </c>
      <c r="I22">
        <v>90</v>
      </c>
      <c r="J22">
        <f t="shared" si="4"/>
        <v>45</v>
      </c>
      <c r="K22">
        <f>ROUND(Table13[[#This Row],[IAS]]+Table13[[#This Row],[END OF TERM(50%)]],0)</f>
        <v>79</v>
      </c>
    </row>
    <row r="23" spans="1:11" x14ac:dyDescent="0.25">
      <c r="A23" t="s">
        <v>25</v>
      </c>
      <c r="B23">
        <v>80</v>
      </c>
      <c r="C23">
        <f t="shared" si="0"/>
        <v>16</v>
      </c>
      <c r="D23">
        <v>78</v>
      </c>
      <c r="E23">
        <f t="shared" si="1"/>
        <v>15.600000000000001</v>
      </c>
      <c r="F23">
        <v>100</v>
      </c>
      <c r="G23">
        <f t="shared" si="3"/>
        <v>10</v>
      </c>
      <c r="H23">
        <f t="shared" si="2"/>
        <v>41.6</v>
      </c>
      <c r="I23">
        <v>74</v>
      </c>
      <c r="J23">
        <f t="shared" si="4"/>
        <v>37</v>
      </c>
      <c r="K23">
        <f>ROUND(Table13[[#This Row],[IAS]]+Table13[[#This Row],[END OF TERM(50%)]],0)</f>
        <v>79</v>
      </c>
    </row>
    <row r="24" spans="1:11" x14ac:dyDescent="0.25">
      <c r="A24" t="s">
        <v>31</v>
      </c>
      <c r="B24">
        <v>100</v>
      </c>
      <c r="C24">
        <f t="shared" si="0"/>
        <v>20</v>
      </c>
      <c r="D24">
        <v>95</v>
      </c>
      <c r="E24">
        <f t="shared" si="1"/>
        <v>19</v>
      </c>
      <c r="F24">
        <v>100</v>
      </c>
      <c r="G24">
        <f t="shared" si="3"/>
        <v>10</v>
      </c>
      <c r="H24">
        <f t="shared" si="2"/>
        <v>49</v>
      </c>
      <c r="I24">
        <v>98</v>
      </c>
      <c r="J24">
        <f t="shared" si="4"/>
        <v>49</v>
      </c>
      <c r="K24">
        <f>ROUND(Table13[[#This Row],[IAS]]+Table13[[#This Row],[END OF TERM(50%)]],0)</f>
        <v>98</v>
      </c>
    </row>
    <row r="25" spans="1:11" x14ac:dyDescent="0.25">
      <c r="A25" t="s">
        <v>14</v>
      </c>
      <c r="B25">
        <v>60</v>
      </c>
      <c r="C25">
        <f t="shared" si="0"/>
        <v>12</v>
      </c>
      <c r="D25">
        <v>75</v>
      </c>
      <c r="E25">
        <f t="shared" si="1"/>
        <v>15</v>
      </c>
      <c r="F25">
        <v>100</v>
      </c>
      <c r="G25">
        <f t="shared" si="3"/>
        <v>10</v>
      </c>
      <c r="H25">
        <f t="shared" si="2"/>
        <v>37</v>
      </c>
      <c r="I25">
        <v>93</v>
      </c>
      <c r="J25">
        <f t="shared" si="4"/>
        <v>46.5</v>
      </c>
      <c r="K25">
        <f>ROUND(Table13[[#This Row],[IAS]]+Table13[[#This Row],[END OF TERM(50%)]],0)</f>
        <v>84</v>
      </c>
    </row>
    <row r="26" spans="1:11" x14ac:dyDescent="0.25">
      <c r="A26" t="s">
        <v>16</v>
      </c>
      <c r="B26">
        <v>90</v>
      </c>
      <c r="C26">
        <f t="shared" si="0"/>
        <v>18</v>
      </c>
      <c r="D26">
        <v>95</v>
      </c>
      <c r="E26">
        <f t="shared" si="1"/>
        <v>19</v>
      </c>
      <c r="F26">
        <v>100</v>
      </c>
      <c r="G26">
        <f t="shared" si="3"/>
        <v>10</v>
      </c>
      <c r="H26">
        <f t="shared" si="2"/>
        <v>47</v>
      </c>
      <c r="I26">
        <v>94</v>
      </c>
      <c r="J26">
        <f t="shared" si="4"/>
        <v>47</v>
      </c>
      <c r="K26">
        <f>ROUND(Table13[[#This Row],[IAS]]+Table13[[#This Row],[END OF TERM(50%)]],0)</f>
        <v>94</v>
      </c>
    </row>
    <row r="27" spans="1:11" x14ac:dyDescent="0.25">
      <c r="A27" t="s">
        <v>29</v>
      </c>
      <c r="B27">
        <v>70</v>
      </c>
      <c r="C27">
        <f t="shared" si="0"/>
        <v>14</v>
      </c>
      <c r="D27">
        <v>82</v>
      </c>
      <c r="E27">
        <f t="shared" si="1"/>
        <v>16.400000000000002</v>
      </c>
      <c r="F27">
        <v>100</v>
      </c>
      <c r="G27">
        <f t="shared" si="3"/>
        <v>10</v>
      </c>
      <c r="H27">
        <f t="shared" si="2"/>
        <v>40.400000000000006</v>
      </c>
      <c r="I27">
        <v>91</v>
      </c>
      <c r="J27">
        <f t="shared" si="4"/>
        <v>45.5</v>
      </c>
      <c r="K27">
        <f>ROUND(Table13[[#This Row],[IAS]]+Table13[[#This Row],[END OF TERM(50%)]],0)</f>
        <v>86</v>
      </c>
    </row>
    <row r="28" spans="1:11" x14ac:dyDescent="0.25">
      <c r="A28" t="s">
        <v>15</v>
      </c>
      <c r="B28">
        <v>60</v>
      </c>
      <c r="C28">
        <f t="shared" si="0"/>
        <v>12</v>
      </c>
      <c r="D28">
        <v>71</v>
      </c>
      <c r="E28">
        <f t="shared" si="1"/>
        <v>14.200000000000001</v>
      </c>
      <c r="F28">
        <v>100</v>
      </c>
      <c r="G28">
        <f t="shared" si="3"/>
        <v>10</v>
      </c>
      <c r="H28">
        <f t="shared" si="2"/>
        <v>36.200000000000003</v>
      </c>
      <c r="I28">
        <v>87</v>
      </c>
      <c r="J28">
        <f t="shared" si="4"/>
        <v>43.5</v>
      </c>
      <c r="K28">
        <f>ROUND(Table13[[#This Row],[IAS]]+Table13[[#This Row],[END OF TERM(50%)]],0)</f>
        <v>80</v>
      </c>
    </row>
    <row r="29" spans="1:11" x14ac:dyDescent="0.25">
      <c r="A29" t="s">
        <v>30</v>
      </c>
      <c r="B29">
        <v>50</v>
      </c>
      <c r="C29">
        <f t="shared" si="0"/>
        <v>10</v>
      </c>
      <c r="D29">
        <v>69</v>
      </c>
      <c r="E29">
        <f t="shared" si="1"/>
        <v>13.8</v>
      </c>
      <c r="F29">
        <v>100</v>
      </c>
      <c r="G29">
        <f t="shared" si="3"/>
        <v>10</v>
      </c>
      <c r="H29">
        <f t="shared" si="2"/>
        <v>33.799999999999997</v>
      </c>
      <c r="I29">
        <v>86</v>
      </c>
      <c r="J29">
        <f t="shared" si="4"/>
        <v>43</v>
      </c>
      <c r="K29">
        <f>ROUND(Table13[[#This Row],[IAS]]+Table13[[#This Row],[END OF TERM(50%)]],0)</f>
        <v>77</v>
      </c>
    </row>
    <row r="30" spans="1:11" x14ac:dyDescent="0.25">
      <c r="A30" s="55" t="s">
        <v>145</v>
      </c>
      <c r="B30" s="55">
        <f ca="1">RANDBETWEEN(60, 100)</f>
        <v>67</v>
      </c>
      <c r="C30" s="55">
        <f ca="1">B30*20%</f>
        <v>13.4</v>
      </c>
      <c r="D30" s="55">
        <f ca="1">RANDBETWEEN(60, 100)</f>
        <v>66</v>
      </c>
      <c r="E30" s="55">
        <f ca="1">D30*20%</f>
        <v>13.200000000000001</v>
      </c>
      <c r="F30">
        <v>100</v>
      </c>
      <c r="G30" s="55">
        <f>F30*10%</f>
        <v>10</v>
      </c>
      <c r="H30" s="55">
        <f ca="1">C30+E30+G30</f>
        <v>36.6</v>
      </c>
      <c r="I30" s="55">
        <f ca="1">RANDBETWEEN(60, 100)</f>
        <v>85</v>
      </c>
      <c r="J30" s="55">
        <f ca="1">I30*50%</f>
        <v>42.5</v>
      </c>
      <c r="K30" s="55">
        <f ca="1">ROUND(Table13[[#This Row],[IAS]]+Table13[[#This Row],[END OF TERM(50%)]],0)</f>
        <v>79</v>
      </c>
    </row>
    <row r="31" spans="1:11" x14ac:dyDescent="0.25">
      <c r="A31" s="22" t="s">
        <v>88</v>
      </c>
      <c r="B31" s="55">
        <f t="shared" ref="B31:B54" ca="1" si="5">RANDBETWEEN(60, 100)</f>
        <v>69</v>
      </c>
      <c r="C31">
        <f ca="1">B31*20%</f>
        <v>13.8</v>
      </c>
      <c r="D31" s="55">
        <f t="shared" ref="D31:D54" ca="1" si="6">RANDBETWEEN(60, 100)</f>
        <v>73</v>
      </c>
      <c r="E31">
        <f ca="1">D31*20%</f>
        <v>14.600000000000001</v>
      </c>
      <c r="F31">
        <v>100</v>
      </c>
      <c r="G31">
        <f>F31*10%</f>
        <v>10</v>
      </c>
      <c r="H31">
        <f ca="1">C31+E31+G31</f>
        <v>38.400000000000006</v>
      </c>
      <c r="I31" s="55">
        <f t="shared" ref="I31:I54" ca="1" si="7">RANDBETWEEN(60, 100)</f>
        <v>66</v>
      </c>
      <c r="J31">
        <f ca="1">I31*50%</f>
        <v>33</v>
      </c>
      <c r="K31">
        <f ca="1">ROUND(Table13[[#This Row],[IAS]]+Table13[[#This Row],[END OF TERM(50%)]],0)</f>
        <v>71</v>
      </c>
    </row>
    <row r="32" spans="1:11" x14ac:dyDescent="0.25">
      <c r="A32" s="22" t="s">
        <v>89</v>
      </c>
      <c r="B32" s="55">
        <f t="shared" ca="1" si="5"/>
        <v>60</v>
      </c>
      <c r="C32">
        <f ca="1">B32*20%</f>
        <v>12</v>
      </c>
      <c r="D32" s="55">
        <f t="shared" ca="1" si="6"/>
        <v>79</v>
      </c>
      <c r="E32">
        <f ca="1">D32*20%</f>
        <v>15.8</v>
      </c>
      <c r="F32">
        <v>100</v>
      </c>
      <c r="G32">
        <f>F32*10%</f>
        <v>10</v>
      </c>
      <c r="H32">
        <f ca="1">C32+E32+G32</f>
        <v>37.799999999999997</v>
      </c>
      <c r="I32" s="55">
        <f t="shared" ca="1" si="7"/>
        <v>68</v>
      </c>
      <c r="J32">
        <f ca="1">I32*50%</f>
        <v>34</v>
      </c>
      <c r="K32">
        <f ca="1">ROUND(Table13[[#This Row],[IAS]]+Table13[[#This Row],[END OF TERM(50%)]],0)</f>
        <v>72</v>
      </c>
    </row>
    <row r="33" spans="1:11" x14ac:dyDescent="0.25">
      <c r="A33" s="22" t="s">
        <v>90</v>
      </c>
      <c r="B33" s="55">
        <f t="shared" ca="1" si="5"/>
        <v>84</v>
      </c>
      <c r="C33">
        <f ca="1">B33*20%</f>
        <v>16.8</v>
      </c>
      <c r="D33" s="55">
        <f t="shared" ca="1" si="6"/>
        <v>73</v>
      </c>
      <c r="E33">
        <f ca="1">D33*20%</f>
        <v>14.600000000000001</v>
      </c>
      <c r="F33">
        <v>100</v>
      </c>
      <c r="G33">
        <f>F33*10%</f>
        <v>10</v>
      </c>
      <c r="H33">
        <f ca="1">C33+E33+G33</f>
        <v>41.400000000000006</v>
      </c>
      <c r="I33" s="55">
        <f t="shared" ca="1" si="7"/>
        <v>74</v>
      </c>
      <c r="J33">
        <f ca="1">I33*50%</f>
        <v>37</v>
      </c>
      <c r="K33">
        <f ca="1">ROUND(Table13[[#This Row],[IAS]]+Table13[[#This Row],[END OF TERM(50%)]],0)</f>
        <v>78</v>
      </c>
    </row>
    <row r="34" spans="1:11" x14ac:dyDescent="0.25">
      <c r="A34" s="22" t="s">
        <v>91</v>
      </c>
      <c r="B34" s="55">
        <f t="shared" ca="1" si="5"/>
        <v>91</v>
      </c>
      <c r="C34">
        <f t="shared" ref="C34:C80" ca="1" si="8">B34*20%</f>
        <v>18.2</v>
      </c>
      <c r="D34" s="55">
        <f t="shared" ca="1" si="6"/>
        <v>92</v>
      </c>
      <c r="E34">
        <f t="shared" ref="E34:E80" ca="1" si="9">D34*20%</f>
        <v>18.400000000000002</v>
      </c>
      <c r="F34">
        <v>100</v>
      </c>
      <c r="G34">
        <f t="shared" ref="G34:G80" si="10">F34*10%</f>
        <v>10</v>
      </c>
      <c r="H34">
        <f t="shared" ref="H34:H80" ca="1" si="11">C34+E34+G34</f>
        <v>46.6</v>
      </c>
      <c r="I34" s="55">
        <f t="shared" ca="1" si="7"/>
        <v>84</v>
      </c>
      <c r="J34">
        <f t="shared" ref="J34:J80" ca="1" si="12">I34*50%</f>
        <v>42</v>
      </c>
      <c r="K34">
        <f ca="1">ROUND(Table13[[#This Row],[IAS]]+Table13[[#This Row],[END OF TERM(50%)]],0)</f>
        <v>89</v>
      </c>
    </row>
    <row r="35" spans="1:11" x14ac:dyDescent="0.25">
      <c r="A35" s="22" t="s">
        <v>92</v>
      </c>
      <c r="B35" s="55">
        <f t="shared" ca="1" si="5"/>
        <v>62</v>
      </c>
      <c r="C35">
        <f t="shared" ca="1" si="8"/>
        <v>12.4</v>
      </c>
      <c r="D35" s="55">
        <f t="shared" ca="1" si="6"/>
        <v>90</v>
      </c>
      <c r="E35">
        <f t="shared" ca="1" si="9"/>
        <v>18</v>
      </c>
      <c r="F35">
        <v>100</v>
      </c>
      <c r="G35">
        <f t="shared" si="10"/>
        <v>10</v>
      </c>
      <c r="H35">
        <f t="shared" ca="1" si="11"/>
        <v>40.4</v>
      </c>
      <c r="I35" s="55">
        <f t="shared" ca="1" si="7"/>
        <v>93</v>
      </c>
      <c r="J35">
        <f t="shared" ca="1" si="12"/>
        <v>46.5</v>
      </c>
      <c r="K35">
        <f ca="1">ROUND(Table13[[#This Row],[IAS]]+Table13[[#This Row],[END OF TERM(50%)]],0)</f>
        <v>87</v>
      </c>
    </row>
    <row r="36" spans="1:11" x14ac:dyDescent="0.25">
      <c r="A36" s="22" t="s">
        <v>93</v>
      </c>
      <c r="B36" s="55">
        <f t="shared" ca="1" si="5"/>
        <v>79</v>
      </c>
      <c r="C36">
        <f t="shared" ca="1" si="8"/>
        <v>15.8</v>
      </c>
      <c r="D36" s="55">
        <f t="shared" ca="1" si="6"/>
        <v>96</v>
      </c>
      <c r="E36">
        <f t="shared" ca="1" si="9"/>
        <v>19.200000000000003</v>
      </c>
      <c r="F36">
        <v>100</v>
      </c>
      <c r="G36">
        <f t="shared" si="10"/>
        <v>10</v>
      </c>
      <c r="H36">
        <f t="shared" ca="1" si="11"/>
        <v>45</v>
      </c>
      <c r="I36" s="55">
        <f t="shared" ca="1" si="7"/>
        <v>62</v>
      </c>
      <c r="J36">
        <f t="shared" ca="1" si="12"/>
        <v>31</v>
      </c>
      <c r="K36">
        <f ca="1">ROUND(Table13[[#This Row],[IAS]]+Table13[[#This Row],[END OF TERM(50%)]],0)</f>
        <v>76</v>
      </c>
    </row>
    <row r="37" spans="1:11" x14ac:dyDescent="0.25">
      <c r="A37" s="22" t="s">
        <v>94</v>
      </c>
      <c r="B37" s="55">
        <f t="shared" ca="1" si="5"/>
        <v>60</v>
      </c>
      <c r="C37">
        <f t="shared" ca="1" si="8"/>
        <v>12</v>
      </c>
      <c r="D37" s="55">
        <f t="shared" ca="1" si="6"/>
        <v>82</v>
      </c>
      <c r="E37">
        <f t="shared" ca="1" si="9"/>
        <v>16.400000000000002</v>
      </c>
      <c r="F37">
        <v>100</v>
      </c>
      <c r="G37">
        <f t="shared" si="10"/>
        <v>10</v>
      </c>
      <c r="H37">
        <f t="shared" ca="1" si="11"/>
        <v>38.400000000000006</v>
      </c>
      <c r="I37" s="55">
        <f t="shared" ca="1" si="7"/>
        <v>69</v>
      </c>
      <c r="J37">
        <f t="shared" ca="1" si="12"/>
        <v>34.5</v>
      </c>
      <c r="K37">
        <f ca="1">ROUND(Table13[[#This Row],[IAS]]+Table13[[#This Row],[END OF TERM(50%)]],0)</f>
        <v>73</v>
      </c>
    </row>
    <row r="38" spans="1:11" x14ac:dyDescent="0.25">
      <c r="A38" s="22" t="s">
        <v>95</v>
      </c>
      <c r="B38" s="55">
        <f t="shared" ca="1" si="5"/>
        <v>69</v>
      </c>
      <c r="C38">
        <f t="shared" ca="1" si="8"/>
        <v>13.8</v>
      </c>
      <c r="D38" s="55">
        <f t="shared" ca="1" si="6"/>
        <v>65</v>
      </c>
      <c r="E38">
        <f t="shared" ca="1" si="9"/>
        <v>13</v>
      </c>
      <c r="F38">
        <v>100</v>
      </c>
      <c r="G38">
        <f t="shared" si="10"/>
        <v>10</v>
      </c>
      <c r="H38">
        <f t="shared" ca="1" si="11"/>
        <v>36.799999999999997</v>
      </c>
      <c r="I38" s="55">
        <f t="shared" ca="1" si="7"/>
        <v>81</v>
      </c>
      <c r="J38">
        <f t="shared" ca="1" si="12"/>
        <v>40.5</v>
      </c>
      <c r="K38">
        <f ca="1">ROUND(Table13[[#This Row],[IAS]]+Table13[[#This Row],[END OF TERM(50%)]],0)</f>
        <v>77</v>
      </c>
    </row>
    <row r="39" spans="1:11" x14ac:dyDescent="0.25">
      <c r="A39" s="22" t="s">
        <v>96</v>
      </c>
      <c r="B39" s="55">
        <f t="shared" ca="1" si="5"/>
        <v>70</v>
      </c>
      <c r="C39">
        <f t="shared" ca="1" si="8"/>
        <v>14</v>
      </c>
      <c r="D39" s="55">
        <f t="shared" ca="1" si="6"/>
        <v>90</v>
      </c>
      <c r="E39">
        <f t="shared" ca="1" si="9"/>
        <v>18</v>
      </c>
      <c r="F39">
        <v>100</v>
      </c>
      <c r="G39">
        <f t="shared" si="10"/>
        <v>10</v>
      </c>
      <c r="H39">
        <f t="shared" ca="1" si="11"/>
        <v>42</v>
      </c>
      <c r="I39" s="55">
        <f t="shared" ca="1" si="7"/>
        <v>86</v>
      </c>
      <c r="J39">
        <f t="shared" ca="1" si="12"/>
        <v>43</v>
      </c>
      <c r="K39">
        <f ca="1">ROUND(Table13[[#This Row],[IAS]]+Table13[[#This Row],[END OF TERM(50%)]],0)</f>
        <v>85</v>
      </c>
    </row>
    <row r="40" spans="1:11" x14ac:dyDescent="0.25">
      <c r="A40" s="22" t="s">
        <v>97</v>
      </c>
      <c r="B40" s="55">
        <f t="shared" ca="1" si="5"/>
        <v>82</v>
      </c>
      <c r="C40">
        <f t="shared" ca="1" si="8"/>
        <v>16.400000000000002</v>
      </c>
      <c r="D40" s="55">
        <f t="shared" ca="1" si="6"/>
        <v>79</v>
      </c>
      <c r="E40">
        <f t="shared" ca="1" si="9"/>
        <v>15.8</v>
      </c>
      <c r="F40">
        <v>100</v>
      </c>
      <c r="G40">
        <f t="shared" si="10"/>
        <v>10</v>
      </c>
      <c r="H40">
        <f t="shared" ca="1" si="11"/>
        <v>42.2</v>
      </c>
      <c r="I40" s="55">
        <f t="shared" ca="1" si="7"/>
        <v>96</v>
      </c>
      <c r="J40">
        <f t="shared" ca="1" si="12"/>
        <v>48</v>
      </c>
      <c r="K40">
        <f ca="1">ROUND(Table13[[#This Row],[IAS]]+Table13[[#This Row],[END OF TERM(50%)]],0)</f>
        <v>90</v>
      </c>
    </row>
    <row r="41" spans="1:11" x14ac:dyDescent="0.25">
      <c r="A41" s="22" t="s">
        <v>98</v>
      </c>
      <c r="B41" s="55">
        <f t="shared" ca="1" si="5"/>
        <v>97</v>
      </c>
      <c r="C41">
        <f t="shared" ca="1" si="8"/>
        <v>19.400000000000002</v>
      </c>
      <c r="D41" s="55">
        <f t="shared" ca="1" si="6"/>
        <v>67</v>
      </c>
      <c r="E41">
        <f t="shared" ca="1" si="9"/>
        <v>13.4</v>
      </c>
      <c r="F41">
        <v>100</v>
      </c>
      <c r="G41">
        <f t="shared" si="10"/>
        <v>10</v>
      </c>
      <c r="H41">
        <f t="shared" ca="1" si="11"/>
        <v>42.800000000000004</v>
      </c>
      <c r="I41" s="55">
        <f t="shared" ca="1" si="7"/>
        <v>98</v>
      </c>
      <c r="J41">
        <f t="shared" ca="1" si="12"/>
        <v>49</v>
      </c>
      <c r="K41">
        <f ca="1">ROUND(Table13[[#This Row],[IAS]]+Table13[[#This Row],[END OF TERM(50%)]],0)</f>
        <v>92</v>
      </c>
    </row>
    <row r="42" spans="1:11" x14ac:dyDescent="0.25">
      <c r="A42" s="22" t="s">
        <v>99</v>
      </c>
      <c r="B42" s="55">
        <f t="shared" ca="1" si="5"/>
        <v>73</v>
      </c>
      <c r="C42">
        <f t="shared" ca="1" si="8"/>
        <v>14.600000000000001</v>
      </c>
      <c r="D42" s="55">
        <f t="shared" ca="1" si="6"/>
        <v>89</v>
      </c>
      <c r="E42">
        <f t="shared" ca="1" si="9"/>
        <v>17.8</v>
      </c>
      <c r="F42">
        <v>100</v>
      </c>
      <c r="G42">
        <f t="shared" si="10"/>
        <v>10</v>
      </c>
      <c r="H42">
        <f t="shared" ca="1" si="11"/>
        <v>42.400000000000006</v>
      </c>
      <c r="I42" s="55">
        <f t="shared" ca="1" si="7"/>
        <v>87</v>
      </c>
      <c r="J42">
        <f t="shared" ca="1" si="12"/>
        <v>43.5</v>
      </c>
      <c r="K42">
        <f ca="1">ROUND(Table13[[#This Row],[IAS]]+Table13[[#This Row],[END OF TERM(50%)]],0)</f>
        <v>86</v>
      </c>
    </row>
    <row r="43" spans="1:11" x14ac:dyDescent="0.25">
      <c r="A43" s="22" t="s">
        <v>100</v>
      </c>
      <c r="B43" s="55">
        <f t="shared" ca="1" si="5"/>
        <v>100</v>
      </c>
      <c r="C43">
        <f t="shared" ca="1" si="8"/>
        <v>20</v>
      </c>
      <c r="D43" s="55">
        <f t="shared" ca="1" si="6"/>
        <v>92</v>
      </c>
      <c r="E43">
        <f t="shared" ca="1" si="9"/>
        <v>18.400000000000002</v>
      </c>
      <c r="F43">
        <v>100</v>
      </c>
      <c r="G43">
        <f t="shared" si="10"/>
        <v>10</v>
      </c>
      <c r="H43">
        <f t="shared" ca="1" si="11"/>
        <v>48.400000000000006</v>
      </c>
      <c r="I43" s="55">
        <f t="shared" ca="1" si="7"/>
        <v>71</v>
      </c>
      <c r="J43">
        <f t="shared" ca="1" si="12"/>
        <v>35.5</v>
      </c>
      <c r="K43">
        <f ca="1">ROUND(Table13[[#This Row],[IAS]]+Table13[[#This Row],[END OF TERM(50%)]],0)</f>
        <v>84</v>
      </c>
    </row>
    <row r="44" spans="1:11" x14ac:dyDescent="0.25">
      <c r="A44" s="22" t="s">
        <v>101</v>
      </c>
      <c r="B44" s="55">
        <f t="shared" ca="1" si="5"/>
        <v>68</v>
      </c>
      <c r="C44">
        <f t="shared" ca="1" si="8"/>
        <v>13.600000000000001</v>
      </c>
      <c r="D44" s="55">
        <f t="shared" ca="1" si="6"/>
        <v>75</v>
      </c>
      <c r="E44">
        <f t="shared" ca="1" si="9"/>
        <v>15</v>
      </c>
      <c r="F44">
        <v>100</v>
      </c>
      <c r="G44">
        <f t="shared" si="10"/>
        <v>10</v>
      </c>
      <c r="H44">
        <f t="shared" ca="1" si="11"/>
        <v>38.6</v>
      </c>
      <c r="I44" s="55">
        <f t="shared" ca="1" si="7"/>
        <v>71</v>
      </c>
      <c r="J44">
        <f t="shared" ca="1" si="12"/>
        <v>35.5</v>
      </c>
      <c r="K44">
        <f ca="1">ROUND(Table13[[#This Row],[IAS]]+Table13[[#This Row],[END OF TERM(50%)]],0)</f>
        <v>74</v>
      </c>
    </row>
    <row r="45" spans="1:11" x14ac:dyDescent="0.25">
      <c r="A45" s="22" t="s">
        <v>102</v>
      </c>
      <c r="B45" s="55">
        <f t="shared" ca="1" si="5"/>
        <v>81</v>
      </c>
      <c r="C45">
        <f t="shared" ca="1" si="8"/>
        <v>16.2</v>
      </c>
      <c r="D45" s="55">
        <f t="shared" ca="1" si="6"/>
        <v>94</v>
      </c>
      <c r="E45">
        <f t="shared" ca="1" si="9"/>
        <v>18.8</v>
      </c>
      <c r="F45">
        <v>100</v>
      </c>
      <c r="G45">
        <f t="shared" si="10"/>
        <v>10</v>
      </c>
      <c r="H45">
        <f t="shared" ca="1" si="11"/>
        <v>45</v>
      </c>
      <c r="I45" s="55">
        <f t="shared" ca="1" si="7"/>
        <v>86</v>
      </c>
      <c r="J45">
        <f t="shared" ca="1" si="12"/>
        <v>43</v>
      </c>
      <c r="K45">
        <f ca="1">ROUND(Table13[[#This Row],[IAS]]+Table13[[#This Row],[END OF TERM(50%)]],0)</f>
        <v>88</v>
      </c>
    </row>
    <row r="46" spans="1:11" x14ac:dyDescent="0.25">
      <c r="A46" s="22" t="s">
        <v>103</v>
      </c>
      <c r="B46" s="55">
        <f t="shared" ca="1" si="5"/>
        <v>94</v>
      </c>
      <c r="C46">
        <f t="shared" ca="1" si="8"/>
        <v>18.8</v>
      </c>
      <c r="D46" s="55">
        <f t="shared" ca="1" si="6"/>
        <v>88</v>
      </c>
      <c r="E46">
        <f t="shared" ca="1" si="9"/>
        <v>17.600000000000001</v>
      </c>
      <c r="F46">
        <v>100</v>
      </c>
      <c r="G46">
        <f t="shared" si="10"/>
        <v>10</v>
      </c>
      <c r="H46">
        <f t="shared" ca="1" si="11"/>
        <v>46.400000000000006</v>
      </c>
      <c r="I46" s="55">
        <f t="shared" ca="1" si="7"/>
        <v>81</v>
      </c>
      <c r="J46">
        <f t="shared" ca="1" si="12"/>
        <v>40.5</v>
      </c>
      <c r="K46">
        <f ca="1">ROUND(Table13[[#This Row],[IAS]]+Table13[[#This Row],[END OF TERM(50%)]],0)</f>
        <v>87</v>
      </c>
    </row>
    <row r="47" spans="1:11" x14ac:dyDescent="0.25">
      <c r="A47" s="22" t="s">
        <v>104</v>
      </c>
      <c r="B47" s="55">
        <f t="shared" ca="1" si="5"/>
        <v>96</v>
      </c>
      <c r="C47">
        <f t="shared" ca="1" si="8"/>
        <v>19.200000000000003</v>
      </c>
      <c r="D47" s="55">
        <f t="shared" ca="1" si="6"/>
        <v>65</v>
      </c>
      <c r="E47">
        <f t="shared" ca="1" si="9"/>
        <v>13</v>
      </c>
      <c r="F47">
        <v>100</v>
      </c>
      <c r="G47">
        <f t="shared" si="10"/>
        <v>10</v>
      </c>
      <c r="H47">
        <f t="shared" ca="1" si="11"/>
        <v>42.2</v>
      </c>
      <c r="I47" s="55">
        <f t="shared" ca="1" si="7"/>
        <v>92</v>
      </c>
      <c r="J47">
        <f t="shared" ca="1" si="12"/>
        <v>46</v>
      </c>
      <c r="K47">
        <f ca="1">ROUND(Table13[[#This Row],[IAS]]+Table13[[#This Row],[END OF TERM(50%)]],0)</f>
        <v>88</v>
      </c>
    </row>
    <row r="48" spans="1:11" x14ac:dyDescent="0.25">
      <c r="A48" s="22" t="s">
        <v>105</v>
      </c>
      <c r="B48" s="55">
        <f t="shared" ca="1" si="5"/>
        <v>81</v>
      </c>
      <c r="C48">
        <f t="shared" ca="1" si="8"/>
        <v>16.2</v>
      </c>
      <c r="D48" s="55">
        <f t="shared" ca="1" si="6"/>
        <v>72</v>
      </c>
      <c r="E48">
        <f t="shared" ca="1" si="9"/>
        <v>14.4</v>
      </c>
      <c r="F48">
        <v>100</v>
      </c>
      <c r="G48">
        <f t="shared" si="10"/>
        <v>10</v>
      </c>
      <c r="H48">
        <f t="shared" ca="1" si="11"/>
        <v>40.6</v>
      </c>
      <c r="I48" s="55">
        <f t="shared" ca="1" si="7"/>
        <v>64</v>
      </c>
      <c r="J48">
        <f t="shared" ca="1" si="12"/>
        <v>32</v>
      </c>
      <c r="K48">
        <f ca="1">ROUND(Table13[[#This Row],[IAS]]+Table13[[#This Row],[END OF TERM(50%)]],0)</f>
        <v>73</v>
      </c>
    </row>
    <row r="49" spans="1:11" x14ac:dyDescent="0.25">
      <c r="A49" s="22" t="s">
        <v>106</v>
      </c>
      <c r="B49" s="55">
        <f t="shared" ca="1" si="5"/>
        <v>63</v>
      </c>
      <c r="C49">
        <f t="shared" ca="1" si="8"/>
        <v>12.600000000000001</v>
      </c>
      <c r="D49" s="55">
        <f t="shared" ca="1" si="6"/>
        <v>86</v>
      </c>
      <c r="E49">
        <f t="shared" ca="1" si="9"/>
        <v>17.2</v>
      </c>
      <c r="F49">
        <v>100</v>
      </c>
      <c r="G49">
        <f t="shared" si="10"/>
        <v>10</v>
      </c>
      <c r="H49">
        <f t="shared" ca="1" si="11"/>
        <v>39.799999999999997</v>
      </c>
      <c r="I49" s="55">
        <f t="shared" ca="1" si="7"/>
        <v>78</v>
      </c>
      <c r="J49">
        <f t="shared" ca="1" si="12"/>
        <v>39</v>
      </c>
      <c r="K49">
        <f ca="1">ROUND(Table13[[#This Row],[IAS]]+Table13[[#This Row],[END OF TERM(50%)]],0)</f>
        <v>79</v>
      </c>
    </row>
    <row r="50" spans="1:11" x14ac:dyDescent="0.25">
      <c r="A50" s="22" t="s">
        <v>107</v>
      </c>
      <c r="B50" s="55">
        <f t="shared" ca="1" si="5"/>
        <v>97</v>
      </c>
      <c r="C50">
        <f t="shared" ca="1" si="8"/>
        <v>19.400000000000002</v>
      </c>
      <c r="D50" s="55">
        <f t="shared" ca="1" si="6"/>
        <v>72</v>
      </c>
      <c r="E50">
        <f t="shared" ca="1" si="9"/>
        <v>14.4</v>
      </c>
      <c r="F50">
        <v>100</v>
      </c>
      <c r="G50">
        <f t="shared" si="10"/>
        <v>10</v>
      </c>
      <c r="H50">
        <f t="shared" ca="1" si="11"/>
        <v>43.800000000000004</v>
      </c>
      <c r="I50" s="55">
        <f t="shared" ca="1" si="7"/>
        <v>63</v>
      </c>
      <c r="J50">
        <f t="shared" ca="1" si="12"/>
        <v>31.5</v>
      </c>
      <c r="K50">
        <f ca="1">ROUND(Table13[[#This Row],[IAS]]+Table13[[#This Row],[END OF TERM(50%)]],0)</f>
        <v>75</v>
      </c>
    </row>
    <row r="51" spans="1:11" x14ac:dyDescent="0.25">
      <c r="A51" s="22" t="s">
        <v>108</v>
      </c>
      <c r="B51" s="55">
        <f t="shared" ca="1" si="5"/>
        <v>84</v>
      </c>
      <c r="C51">
        <f t="shared" ca="1" si="8"/>
        <v>16.8</v>
      </c>
      <c r="D51" s="55">
        <f t="shared" ca="1" si="6"/>
        <v>97</v>
      </c>
      <c r="E51">
        <f t="shared" ca="1" si="9"/>
        <v>19.400000000000002</v>
      </c>
      <c r="F51">
        <v>100</v>
      </c>
      <c r="G51">
        <f t="shared" si="10"/>
        <v>10</v>
      </c>
      <c r="H51">
        <f t="shared" ca="1" si="11"/>
        <v>46.2</v>
      </c>
      <c r="I51" s="55">
        <f t="shared" ca="1" si="7"/>
        <v>70</v>
      </c>
      <c r="J51">
        <f t="shared" ca="1" si="12"/>
        <v>35</v>
      </c>
      <c r="K51">
        <f ca="1">ROUND(Table13[[#This Row],[IAS]]+Table13[[#This Row],[END OF TERM(50%)]],0)</f>
        <v>81</v>
      </c>
    </row>
    <row r="52" spans="1:11" x14ac:dyDescent="0.25">
      <c r="A52" s="22" t="s">
        <v>109</v>
      </c>
      <c r="B52" s="55">
        <f t="shared" ca="1" si="5"/>
        <v>75</v>
      </c>
      <c r="C52">
        <f t="shared" ca="1" si="8"/>
        <v>15</v>
      </c>
      <c r="D52" s="55">
        <f t="shared" ca="1" si="6"/>
        <v>80</v>
      </c>
      <c r="E52">
        <f t="shared" ca="1" si="9"/>
        <v>16</v>
      </c>
      <c r="F52">
        <v>100</v>
      </c>
      <c r="G52">
        <f t="shared" si="10"/>
        <v>10</v>
      </c>
      <c r="H52">
        <f t="shared" ca="1" si="11"/>
        <v>41</v>
      </c>
      <c r="I52" s="55">
        <f t="shared" ca="1" si="7"/>
        <v>79</v>
      </c>
      <c r="J52">
        <f t="shared" ca="1" si="12"/>
        <v>39.5</v>
      </c>
      <c r="K52">
        <f ca="1">ROUND(Table13[[#This Row],[IAS]]+Table13[[#This Row],[END OF TERM(50%)]],0)</f>
        <v>81</v>
      </c>
    </row>
    <row r="53" spans="1:11" x14ac:dyDescent="0.25">
      <c r="A53" s="22" t="s">
        <v>110</v>
      </c>
      <c r="B53" s="55">
        <f t="shared" ca="1" si="5"/>
        <v>79</v>
      </c>
      <c r="C53">
        <f t="shared" ca="1" si="8"/>
        <v>15.8</v>
      </c>
      <c r="D53" s="55">
        <f t="shared" ca="1" si="6"/>
        <v>79</v>
      </c>
      <c r="E53">
        <f t="shared" ca="1" si="9"/>
        <v>15.8</v>
      </c>
      <c r="F53">
        <v>100</v>
      </c>
      <c r="G53">
        <f t="shared" si="10"/>
        <v>10</v>
      </c>
      <c r="H53">
        <f t="shared" ca="1" si="11"/>
        <v>41.6</v>
      </c>
      <c r="I53" s="55">
        <f t="shared" ca="1" si="7"/>
        <v>98</v>
      </c>
      <c r="J53">
        <f t="shared" ca="1" si="12"/>
        <v>49</v>
      </c>
      <c r="K53">
        <f ca="1">ROUND(Table13[[#This Row],[IAS]]+Table13[[#This Row],[END OF TERM(50%)]],0)</f>
        <v>91</v>
      </c>
    </row>
    <row r="54" spans="1:11" x14ac:dyDescent="0.25">
      <c r="A54" s="22" t="s">
        <v>111</v>
      </c>
      <c r="B54" s="55">
        <f t="shared" ca="1" si="5"/>
        <v>72</v>
      </c>
      <c r="C54">
        <f t="shared" ca="1" si="8"/>
        <v>14.4</v>
      </c>
      <c r="D54" s="55">
        <f t="shared" ca="1" si="6"/>
        <v>78</v>
      </c>
      <c r="E54">
        <f t="shared" ca="1" si="9"/>
        <v>15.600000000000001</v>
      </c>
      <c r="F54">
        <v>100</v>
      </c>
      <c r="G54">
        <f t="shared" si="10"/>
        <v>10</v>
      </c>
      <c r="H54">
        <f t="shared" ca="1" si="11"/>
        <v>40</v>
      </c>
      <c r="I54" s="55">
        <f t="shared" ca="1" si="7"/>
        <v>96</v>
      </c>
      <c r="J54">
        <f t="shared" ca="1" si="12"/>
        <v>48</v>
      </c>
      <c r="K54">
        <f ca="1">ROUND(Table13[[#This Row],[IAS]]+Table13[[#This Row],[END OF TERM(50%)]],0)</f>
        <v>88</v>
      </c>
    </row>
    <row r="55" spans="1:11" s="57" customFormat="1" x14ac:dyDescent="0.25">
      <c r="A55" s="56" t="s">
        <v>112</v>
      </c>
      <c r="B55" s="57">
        <v>60</v>
      </c>
      <c r="C55" s="57">
        <f t="shared" si="8"/>
        <v>12</v>
      </c>
      <c r="D55" s="57">
        <v>75</v>
      </c>
      <c r="E55" s="57">
        <f t="shared" si="9"/>
        <v>15</v>
      </c>
      <c r="F55" s="57">
        <v>100</v>
      </c>
      <c r="G55" s="57">
        <f t="shared" si="10"/>
        <v>10</v>
      </c>
      <c r="H55" s="57">
        <f t="shared" si="11"/>
        <v>37</v>
      </c>
      <c r="I55" s="57">
        <v>54</v>
      </c>
      <c r="J55" s="57">
        <f t="shared" si="12"/>
        <v>27</v>
      </c>
      <c r="K55" s="57">
        <f>ROUND(Table13[[#This Row],[IAS]]+Table13[[#This Row],[END OF TERM(50%)]],0)</f>
        <v>64</v>
      </c>
    </row>
    <row r="56" spans="1:11" x14ac:dyDescent="0.25">
      <c r="A56" s="22" t="s">
        <v>113</v>
      </c>
      <c r="B56">
        <v>80</v>
      </c>
      <c r="C56">
        <f t="shared" si="8"/>
        <v>16</v>
      </c>
      <c r="D56">
        <v>96</v>
      </c>
      <c r="E56">
        <f t="shared" si="9"/>
        <v>19.200000000000003</v>
      </c>
      <c r="F56">
        <v>100</v>
      </c>
      <c r="G56">
        <f t="shared" si="10"/>
        <v>10</v>
      </c>
      <c r="H56">
        <f t="shared" si="11"/>
        <v>45.2</v>
      </c>
      <c r="I56">
        <v>94</v>
      </c>
      <c r="J56">
        <f t="shared" si="12"/>
        <v>47</v>
      </c>
      <c r="K56">
        <f>ROUND(Table13[[#This Row],[IAS]]+Table13[[#This Row],[END OF TERM(50%)]],0)</f>
        <v>92</v>
      </c>
    </row>
    <row r="57" spans="1:11" x14ac:dyDescent="0.25">
      <c r="A57" s="22" t="s">
        <v>114</v>
      </c>
      <c r="B57">
        <v>100</v>
      </c>
      <c r="C57">
        <f t="shared" si="8"/>
        <v>20</v>
      </c>
      <c r="D57">
        <v>96</v>
      </c>
      <c r="E57">
        <f t="shared" si="9"/>
        <v>19.200000000000003</v>
      </c>
      <c r="F57">
        <v>100</v>
      </c>
      <c r="G57">
        <f t="shared" si="10"/>
        <v>10</v>
      </c>
      <c r="H57">
        <f t="shared" si="11"/>
        <v>49.2</v>
      </c>
      <c r="I57">
        <v>86</v>
      </c>
      <c r="J57">
        <f t="shared" si="12"/>
        <v>43</v>
      </c>
      <c r="K57">
        <f>ROUND(Table13[[#This Row],[IAS]]+Table13[[#This Row],[END OF TERM(50%)]],0)</f>
        <v>92</v>
      </c>
    </row>
    <row r="58" spans="1:11" x14ac:dyDescent="0.25">
      <c r="A58" s="22" t="s">
        <v>115</v>
      </c>
      <c r="B58">
        <v>70</v>
      </c>
      <c r="C58">
        <f t="shared" si="8"/>
        <v>14</v>
      </c>
      <c r="D58">
        <v>79</v>
      </c>
      <c r="E58">
        <f t="shared" si="9"/>
        <v>15.8</v>
      </c>
      <c r="F58">
        <v>100</v>
      </c>
      <c r="G58">
        <f t="shared" si="10"/>
        <v>10</v>
      </c>
      <c r="H58">
        <f t="shared" si="11"/>
        <v>39.799999999999997</v>
      </c>
      <c r="I58">
        <v>42</v>
      </c>
      <c r="J58">
        <f t="shared" si="12"/>
        <v>21</v>
      </c>
      <c r="K58">
        <f>ROUND(Table13[[#This Row],[IAS]]+Table13[[#This Row],[END OF TERM(50%)]],0)</f>
        <v>61</v>
      </c>
    </row>
    <row r="59" spans="1:11" x14ac:dyDescent="0.25">
      <c r="A59" s="22" t="s">
        <v>116</v>
      </c>
      <c r="B59">
        <v>100</v>
      </c>
      <c r="C59">
        <f t="shared" si="8"/>
        <v>20</v>
      </c>
      <c r="D59">
        <v>92</v>
      </c>
      <c r="E59">
        <f t="shared" si="9"/>
        <v>18.400000000000002</v>
      </c>
      <c r="F59">
        <v>100</v>
      </c>
      <c r="G59">
        <f t="shared" si="10"/>
        <v>10</v>
      </c>
      <c r="H59">
        <f t="shared" si="11"/>
        <v>48.400000000000006</v>
      </c>
      <c r="I59">
        <v>82</v>
      </c>
      <c r="J59">
        <f t="shared" si="12"/>
        <v>41</v>
      </c>
      <c r="K59">
        <f>ROUND(Table13[[#This Row],[IAS]]+Table13[[#This Row],[END OF TERM(50%)]],0)</f>
        <v>89</v>
      </c>
    </row>
    <row r="60" spans="1:11" x14ac:dyDescent="0.25">
      <c r="A60" s="22" t="s">
        <v>117</v>
      </c>
      <c r="B60">
        <v>70</v>
      </c>
      <c r="C60">
        <f t="shared" si="8"/>
        <v>14</v>
      </c>
      <c r="D60">
        <v>87</v>
      </c>
      <c r="E60">
        <f t="shared" si="9"/>
        <v>17.400000000000002</v>
      </c>
      <c r="F60">
        <v>100</v>
      </c>
      <c r="G60">
        <f t="shared" si="10"/>
        <v>10</v>
      </c>
      <c r="H60">
        <f t="shared" si="11"/>
        <v>41.400000000000006</v>
      </c>
      <c r="I60">
        <v>62</v>
      </c>
      <c r="J60">
        <f t="shared" si="12"/>
        <v>31</v>
      </c>
      <c r="K60">
        <f>ROUND(Table13[[#This Row],[IAS]]+Table13[[#This Row],[END OF TERM(50%)]],0)</f>
        <v>72</v>
      </c>
    </row>
    <row r="61" spans="1:11" x14ac:dyDescent="0.25">
      <c r="A61" s="22" t="s">
        <v>118</v>
      </c>
      <c r="B61">
        <v>70</v>
      </c>
      <c r="C61">
        <f t="shared" si="8"/>
        <v>14</v>
      </c>
      <c r="D61">
        <v>82</v>
      </c>
      <c r="E61">
        <f t="shared" si="9"/>
        <v>16.400000000000002</v>
      </c>
      <c r="F61">
        <v>100</v>
      </c>
      <c r="G61">
        <f t="shared" si="10"/>
        <v>10</v>
      </c>
      <c r="H61">
        <f t="shared" si="11"/>
        <v>40.400000000000006</v>
      </c>
      <c r="I61">
        <v>74</v>
      </c>
      <c r="J61">
        <f t="shared" si="12"/>
        <v>37</v>
      </c>
      <c r="K61">
        <f>ROUND(Table13[[#This Row],[IAS]]+Table13[[#This Row],[END OF TERM(50%)]],0)</f>
        <v>77</v>
      </c>
    </row>
    <row r="62" spans="1:11" x14ac:dyDescent="0.25">
      <c r="A62" s="22" t="s">
        <v>119</v>
      </c>
      <c r="B62">
        <v>70</v>
      </c>
      <c r="C62">
        <f t="shared" si="8"/>
        <v>14</v>
      </c>
      <c r="D62">
        <v>92</v>
      </c>
      <c r="E62">
        <f t="shared" si="9"/>
        <v>18.400000000000002</v>
      </c>
      <c r="F62">
        <v>100</v>
      </c>
      <c r="G62">
        <f t="shared" si="10"/>
        <v>10</v>
      </c>
      <c r="H62">
        <f t="shared" si="11"/>
        <v>42.400000000000006</v>
      </c>
      <c r="I62">
        <v>70</v>
      </c>
      <c r="J62">
        <f t="shared" si="12"/>
        <v>35</v>
      </c>
      <c r="K62">
        <f>ROUND(Table13[[#This Row],[IAS]]+Table13[[#This Row],[END OF TERM(50%)]],0)</f>
        <v>77</v>
      </c>
    </row>
    <row r="63" spans="1:11" x14ac:dyDescent="0.25">
      <c r="A63" s="22" t="s">
        <v>120</v>
      </c>
      <c r="B63">
        <v>90</v>
      </c>
      <c r="C63">
        <f t="shared" si="8"/>
        <v>18</v>
      </c>
      <c r="D63">
        <v>88</v>
      </c>
      <c r="E63">
        <f t="shared" si="9"/>
        <v>17.600000000000001</v>
      </c>
      <c r="F63">
        <v>100</v>
      </c>
      <c r="G63">
        <f t="shared" si="10"/>
        <v>10</v>
      </c>
      <c r="H63">
        <f t="shared" si="11"/>
        <v>45.6</v>
      </c>
      <c r="I63">
        <v>76</v>
      </c>
      <c r="J63">
        <f t="shared" si="12"/>
        <v>38</v>
      </c>
      <c r="K63">
        <f>ROUND(Table13[[#This Row],[IAS]]+Table13[[#This Row],[END OF TERM(50%)]],0)</f>
        <v>84</v>
      </c>
    </row>
    <row r="64" spans="1:11" x14ac:dyDescent="0.25">
      <c r="A64" s="22" t="s">
        <v>121</v>
      </c>
      <c r="B64">
        <v>95</v>
      </c>
      <c r="C64">
        <f t="shared" si="8"/>
        <v>19</v>
      </c>
      <c r="D64">
        <v>92</v>
      </c>
      <c r="E64">
        <f t="shared" si="9"/>
        <v>18.400000000000002</v>
      </c>
      <c r="F64">
        <v>100</v>
      </c>
      <c r="G64">
        <f t="shared" si="10"/>
        <v>10</v>
      </c>
      <c r="H64">
        <f t="shared" si="11"/>
        <v>47.400000000000006</v>
      </c>
      <c r="I64">
        <v>77</v>
      </c>
      <c r="J64">
        <f t="shared" si="12"/>
        <v>38.5</v>
      </c>
      <c r="K64">
        <f>ROUND(Table13[[#This Row],[IAS]]+Table13[[#This Row],[END OF TERM(50%)]],0)</f>
        <v>86</v>
      </c>
    </row>
    <row r="65" spans="1:11" x14ac:dyDescent="0.25">
      <c r="A65" s="22" t="s">
        <v>122</v>
      </c>
      <c r="B65">
        <v>90</v>
      </c>
      <c r="C65">
        <f t="shared" si="8"/>
        <v>18</v>
      </c>
      <c r="D65">
        <v>87</v>
      </c>
      <c r="E65">
        <f t="shared" si="9"/>
        <v>17.400000000000002</v>
      </c>
      <c r="F65">
        <v>100</v>
      </c>
      <c r="G65">
        <f t="shared" si="10"/>
        <v>10</v>
      </c>
      <c r="H65">
        <f t="shared" si="11"/>
        <v>45.400000000000006</v>
      </c>
      <c r="I65">
        <v>62</v>
      </c>
      <c r="J65">
        <f t="shared" si="12"/>
        <v>31</v>
      </c>
      <c r="K65">
        <f>ROUND(Table13[[#This Row],[IAS]]+Table13[[#This Row],[END OF TERM(50%)]],0)</f>
        <v>76</v>
      </c>
    </row>
    <row r="66" spans="1:11" x14ac:dyDescent="0.25">
      <c r="A66" s="22" t="s">
        <v>123</v>
      </c>
      <c r="B66">
        <v>80</v>
      </c>
      <c r="C66">
        <f t="shared" si="8"/>
        <v>16</v>
      </c>
      <c r="D66">
        <v>77</v>
      </c>
      <c r="E66">
        <f t="shared" si="9"/>
        <v>15.4</v>
      </c>
      <c r="F66">
        <v>100</v>
      </c>
      <c r="G66">
        <f t="shared" si="10"/>
        <v>10</v>
      </c>
      <c r="H66">
        <f t="shared" si="11"/>
        <v>41.4</v>
      </c>
      <c r="I66">
        <v>60</v>
      </c>
      <c r="J66">
        <f t="shared" si="12"/>
        <v>30</v>
      </c>
      <c r="K66">
        <f>ROUND(Table13[[#This Row],[IAS]]+Table13[[#This Row],[END OF TERM(50%)]],0)</f>
        <v>71</v>
      </c>
    </row>
    <row r="67" spans="1:11" x14ac:dyDescent="0.25">
      <c r="A67" s="22" t="s">
        <v>124</v>
      </c>
      <c r="B67">
        <v>70</v>
      </c>
      <c r="C67">
        <f t="shared" si="8"/>
        <v>14</v>
      </c>
      <c r="D67">
        <v>87</v>
      </c>
      <c r="E67">
        <f t="shared" si="9"/>
        <v>17.400000000000002</v>
      </c>
      <c r="F67">
        <v>100</v>
      </c>
      <c r="G67">
        <f t="shared" si="10"/>
        <v>10</v>
      </c>
      <c r="H67">
        <f t="shared" si="11"/>
        <v>41.400000000000006</v>
      </c>
      <c r="I67">
        <v>74</v>
      </c>
      <c r="J67">
        <f t="shared" si="12"/>
        <v>37</v>
      </c>
      <c r="K67">
        <f>ROUND(Table13[[#This Row],[IAS]]+Table13[[#This Row],[END OF TERM(50%)]],0)</f>
        <v>78</v>
      </c>
    </row>
    <row r="68" spans="1:11" x14ac:dyDescent="0.25">
      <c r="A68" s="22" t="s">
        <v>125</v>
      </c>
      <c r="B68">
        <v>70</v>
      </c>
      <c r="C68">
        <f t="shared" si="8"/>
        <v>14</v>
      </c>
      <c r="D68">
        <v>92</v>
      </c>
      <c r="E68">
        <f t="shared" si="9"/>
        <v>18.400000000000002</v>
      </c>
      <c r="F68">
        <v>100</v>
      </c>
      <c r="G68">
        <f t="shared" si="10"/>
        <v>10</v>
      </c>
      <c r="H68">
        <f t="shared" si="11"/>
        <v>42.400000000000006</v>
      </c>
      <c r="I68">
        <v>62</v>
      </c>
      <c r="J68">
        <f t="shared" si="12"/>
        <v>31</v>
      </c>
      <c r="K68">
        <f>ROUND(Table13[[#This Row],[IAS]]+Table13[[#This Row],[END OF TERM(50%)]],0)</f>
        <v>73</v>
      </c>
    </row>
    <row r="69" spans="1:11" x14ac:dyDescent="0.25">
      <c r="A69" s="22" t="s">
        <v>126</v>
      </c>
      <c r="B69">
        <v>80</v>
      </c>
      <c r="C69">
        <f t="shared" si="8"/>
        <v>16</v>
      </c>
      <c r="D69">
        <v>88</v>
      </c>
      <c r="E69">
        <f t="shared" si="9"/>
        <v>17.600000000000001</v>
      </c>
      <c r="F69">
        <v>100</v>
      </c>
      <c r="G69">
        <f t="shared" si="10"/>
        <v>10</v>
      </c>
      <c r="H69">
        <f t="shared" si="11"/>
        <v>43.6</v>
      </c>
      <c r="I69">
        <v>84</v>
      </c>
      <c r="J69">
        <f t="shared" si="12"/>
        <v>42</v>
      </c>
      <c r="K69">
        <f>ROUND(Table13[[#This Row],[IAS]]+Table13[[#This Row],[END OF TERM(50%)]],0)</f>
        <v>86</v>
      </c>
    </row>
    <row r="70" spans="1:11" x14ac:dyDescent="0.25">
      <c r="A70" s="22" t="s">
        <v>127</v>
      </c>
      <c r="B70">
        <v>100</v>
      </c>
      <c r="C70">
        <f t="shared" si="8"/>
        <v>20</v>
      </c>
      <c r="D70">
        <v>96</v>
      </c>
      <c r="E70">
        <f t="shared" si="9"/>
        <v>19.200000000000003</v>
      </c>
      <c r="F70">
        <v>100</v>
      </c>
      <c r="G70">
        <f t="shared" si="10"/>
        <v>10</v>
      </c>
      <c r="H70">
        <f t="shared" si="11"/>
        <v>49.2</v>
      </c>
      <c r="I70">
        <v>94</v>
      </c>
      <c r="J70">
        <f t="shared" si="12"/>
        <v>47</v>
      </c>
      <c r="K70">
        <f>ROUND(Table13[[#This Row],[IAS]]+Table13[[#This Row],[END OF TERM(50%)]],0)</f>
        <v>96</v>
      </c>
    </row>
    <row r="71" spans="1:11" x14ac:dyDescent="0.25">
      <c r="A71" s="22" t="s">
        <v>128</v>
      </c>
      <c r="B71">
        <v>80</v>
      </c>
      <c r="C71">
        <f t="shared" si="8"/>
        <v>16</v>
      </c>
      <c r="D71">
        <v>86</v>
      </c>
      <c r="E71">
        <f t="shared" si="9"/>
        <v>17.2</v>
      </c>
      <c r="F71">
        <v>100</v>
      </c>
      <c r="G71">
        <f t="shared" si="10"/>
        <v>10</v>
      </c>
      <c r="H71">
        <f t="shared" si="11"/>
        <v>43.2</v>
      </c>
      <c r="I71">
        <v>90</v>
      </c>
      <c r="J71">
        <f t="shared" si="12"/>
        <v>45</v>
      </c>
      <c r="K71">
        <f>ROUND(Table13[[#This Row],[IAS]]+Table13[[#This Row],[END OF TERM(50%)]],0)</f>
        <v>88</v>
      </c>
    </row>
    <row r="72" spans="1:11" x14ac:dyDescent="0.25">
      <c r="A72" s="22" t="s">
        <v>129</v>
      </c>
      <c r="B72">
        <v>70</v>
      </c>
      <c r="C72">
        <f t="shared" si="8"/>
        <v>14</v>
      </c>
      <c r="D72">
        <v>92</v>
      </c>
      <c r="E72">
        <f t="shared" si="9"/>
        <v>18.400000000000002</v>
      </c>
      <c r="F72">
        <v>100</v>
      </c>
      <c r="G72">
        <f t="shared" si="10"/>
        <v>10</v>
      </c>
      <c r="H72">
        <f t="shared" si="11"/>
        <v>42.400000000000006</v>
      </c>
      <c r="I72">
        <v>48</v>
      </c>
      <c r="J72">
        <f t="shared" si="12"/>
        <v>24</v>
      </c>
      <c r="K72">
        <f>ROUND(Table13[[#This Row],[IAS]]+Table13[[#This Row],[END OF TERM(50%)]],0)</f>
        <v>66</v>
      </c>
    </row>
    <row r="73" spans="1:11" x14ac:dyDescent="0.25">
      <c r="A73" s="22" t="s">
        <v>130</v>
      </c>
      <c r="B73">
        <v>75</v>
      </c>
      <c r="C73">
        <f t="shared" si="8"/>
        <v>15</v>
      </c>
      <c r="D73">
        <v>82</v>
      </c>
      <c r="E73">
        <f t="shared" si="9"/>
        <v>16.400000000000002</v>
      </c>
      <c r="F73">
        <v>100</v>
      </c>
      <c r="G73">
        <f t="shared" si="10"/>
        <v>10</v>
      </c>
      <c r="H73">
        <f t="shared" si="11"/>
        <v>41.400000000000006</v>
      </c>
      <c r="I73">
        <v>81</v>
      </c>
      <c r="J73">
        <f t="shared" si="12"/>
        <v>40.5</v>
      </c>
      <c r="K73">
        <f>ROUND(Table13[[#This Row],[IAS]]+Table13[[#This Row],[END OF TERM(50%)]],0)</f>
        <v>82</v>
      </c>
    </row>
    <row r="74" spans="1:11" x14ac:dyDescent="0.25">
      <c r="A74" s="22" t="s">
        <v>131</v>
      </c>
      <c r="B74">
        <v>70</v>
      </c>
      <c r="C74">
        <f t="shared" si="8"/>
        <v>14</v>
      </c>
      <c r="D74">
        <v>96</v>
      </c>
      <c r="E74">
        <f t="shared" si="9"/>
        <v>19.200000000000003</v>
      </c>
      <c r="F74">
        <v>100</v>
      </c>
      <c r="G74">
        <f t="shared" si="10"/>
        <v>10</v>
      </c>
      <c r="H74">
        <f t="shared" si="11"/>
        <v>43.2</v>
      </c>
      <c r="I74">
        <v>52</v>
      </c>
      <c r="J74">
        <f t="shared" si="12"/>
        <v>26</v>
      </c>
      <c r="K74">
        <f>ROUND(Table13[[#This Row],[IAS]]+Table13[[#This Row],[END OF TERM(50%)]],0)</f>
        <v>69</v>
      </c>
    </row>
    <row r="75" spans="1:11" x14ac:dyDescent="0.25">
      <c r="A75" s="22" t="s">
        <v>132</v>
      </c>
      <c r="B75">
        <v>100</v>
      </c>
      <c r="C75">
        <f t="shared" si="8"/>
        <v>20</v>
      </c>
      <c r="D75">
        <v>87</v>
      </c>
      <c r="E75">
        <f t="shared" si="9"/>
        <v>17.400000000000002</v>
      </c>
      <c r="F75">
        <v>100</v>
      </c>
      <c r="G75">
        <f t="shared" si="10"/>
        <v>10</v>
      </c>
      <c r="H75">
        <f t="shared" si="11"/>
        <v>47.400000000000006</v>
      </c>
      <c r="I75">
        <v>81</v>
      </c>
      <c r="J75">
        <f t="shared" si="12"/>
        <v>40.5</v>
      </c>
      <c r="K75">
        <f>ROUND(Table13[[#This Row],[IAS]]+Table13[[#This Row],[END OF TERM(50%)]],0)</f>
        <v>88</v>
      </c>
    </row>
    <row r="76" spans="1:11" x14ac:dyDescent="0.25">
      <c r="A76" s="22" t="s">
        <v>133</v>
      </c>
      <c r="B76">
        <v>80</v>
      </c>
      <c r="C76">
        <f t="shared" si="8"/>
        <v>16</v>
      </c>
      <c r="D76">
        <v>82</v>
      </c>
      <c r="E76">
        <f t="shared" si="9"/>
        <v>16.400000000000002</v>
      </c>
      <c r="F76">
        <v>100</v>
      </c>
      <c r="G76">
        <f t="shared" si="10"/>
        <v>10</v>
      </c>
      <c r="H76">
        <f t="shared" si="11"/>
        <v>42.400000000000006</v>
      </c>
      <c r="I76">
        <v>88</v>
      </c>
      <c r="J76">
        <f t="shared" si="12"/>
        <v>44</v>
      </c>
      <c r="K76">
        <f>ROUND(Table13[[#This Row],[IAS]]+Table13[[#This Row],[END OF TERM(50%)]],0)</f>
        <v>86</v>
      </c>
    </row>
    <row r="77" spans="1:11" x14ac:dyDescent="0.25">
      <c r="A77" s="22" t="s">
        <v>134</v>
      </c>
      <c r="B77">
        <v>100</v>
      </c>
      <c r="C77">
        <f t="shared" si="8"/>
        <v>20</v>
      </c>
      <c r="D77">
        <v>96</v>
      </c>
      <c r="E77">
        <f t="shared" si="9"/>
        <v>19.200000000000003</v>
      </c>
      <c r="F77">
        <v>100</v>
      </c>
      <c r="G77">
        <f t="shared" si="10"/>
        <v>10</v>
      </c>
      <c r="H77">
        <f t="shared" si="11"/>
        <v>49.2</v>
      </c>
      <c r="I77">
        <v>94</v>
      </c>
      <c r="J77">
        <f t="shared" si="12"/>
        <v>47</v>
      </c>
      <c r="K77">
        <f>ROUND(Table13[[#This Row],[IAS]]+Table13[[#This Row],[END OF TERM(50%)]],0)</f>
        <v>96</v>
      </c>
    </row>
    <row r="78" spans="1:11" x14ac:dyDescent="0.25">
      <c r="A78" s="22" t="s">
        <v>135</v>
      </c>
      <c r="B78">
        <v>85</v>
      </c>
      <c r="C78">
        <f t="shared" si="8"/>
        <v>17</v>
      </c>
      <c r="D78">
        <v>96</v>
      </c>
      <c r="E78">
        <f t="shared" si="9"/>
        <v>19.200000000000003</v>
      </c>
      <c r="F78">
        <v>100</v>
      </c>
      <c r="G78">
        <f t="shared" si="10"/>
        <v>10</v>
      </c>
      <c r="H78">
        <f t="shared" si="11"/>
        <v>46.2</v>
      </c>
      <c r="I78">
        <v>90</v>
      </c>
      <c r="J78">
        <f t="shared" si="12"/>
        <v>45</v>
      </c>
      <c r="K78">
        <f>ROUND(Table13[[#This Row],[IAS]]+Table13[[#This Row],[END OF TERM(50%)]],0)</f>
        <v>91</v>
      </c>
    </row>
    <row r="79" spans="1:11" x14ac:dyDescent="0.25">
      <c r="A79" s="22" t="s">
        <v>136</v>
      </c>
      <c r="B79">
        <v>70</v>
      </c>
      <c r="C79">
        <f t="shared" si="8"/>
        <v>14</v>
      </c>
      <c r="D79">
        <v>74</v>
      </c>
      <c r="E79">
        <f t="shared" si="9"/>
        <v>14.8</v>
      </c>
      <c r="F79">
        <v>100</v>
      </c>
      <c r="G79">
        <f t="shared" si="10"/>
        <v>10</v>
      </c>
      <c r="H79">
        <f t="shared" si="11"/>
        <v>38.799999999999997</v>
      </c>
      <c r="I79">
        <v>60</v>
      </c>
      <c r="J79">
        <f t="shared" si="12"/>
        <v>30</v>
      </c>
      <c r="K79">
        <f>ROUND(Table13[[#This Row],[IAS]]+Table13[[#This Row],[END OF TERM(50%)]],0)</f>
        <v>69</v>
      </c>
    </row>
    <row r="80" spans="1:11" x14ac:dyDescent="0.25">
      <c r="A80" s="22" t="s">
        <v>137</v>
      </c>
      <c r="B80">
        <v>100</v>
      </c>
      <c r="C80">
        <f t="shared" si="8"/>
        <v>20</v>
      </c>
      <c r="D80">
        <v>96</v>
      </c>
      <c r="E80">
        <f t="shared" si="9"/>
        <v>19.200000000000003</v>
      </c>
      <c r="F80">
        <v>100</v>
      </c>
      <c r="G80">
        <f t="shared" si="10"/>
        <v>10</v>
      </c>
      <c r="H80">
        <f t="shared" si="11"/>
        <v>49.2</v>
      </c>
      <c r="I80">
        <v>84</v>
      </c>
      <c r="J80">
        <f t="shared" si="12"/>
        <v>42</v>
      </c>
      <c r="K80">
        <f>ROUND(Table13[[#This Row],[IAS]]+Table13[[#This Row],[END OF TERM(50%)]],0)</f>
        <v>91</v>
      </c>
    </row>
  </sheetData>
  <mergeCells count="1">
    <mergeCell ref="D1:J1"/>
  </mergeCells>
  <pageMargins left="0.7" right="0.7" top="0.75" bottom="0.75" header="0.3" footer="0.3"/>
  <ignoredErrors>
    <ignoredError sqref="D30 D31:D54" formula="1"/>
  </ignoredErrors>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41830-AC98-4812-AC10-31D098A86C4D}">
  <sheetPr codeName="Sheet18"/>
  <dimension ref="A1:P80"/>
  <sheetViews>
    <sheetView workbookViewId="0">
      <selection activeCell="F28" sqref="F28:F29"/>
    </sheetView>
  </sheetViews>
  <sheetFormatPr defaultRowHeight="15" x14ac:dyDescent="0.25"/>
  <cols>
    <col min="1" max="1" width="32" style="4" bestFit="1" customWidth="1"/>
    <col min="2" max="2" width="13.140625" customWidth="1"/>
    <col min="3" max="3" width="12.85546875" bestFit="1" customWidth="1"/>
    <col min="4" max="4" width="13.5703125" customWidth="1"/>
    <col min="5" max="5" width="12.85546875" bestFit="1" customWidth="1"/>
    <col min="6" max="6" width="17.140625" customWidth="1"/>
    <col min="7" max="7" width="6.5703125" customWidth="1"/>
    <col min="8" max="8" width="20.85546875" customWidth="1"/>
    <col min="9" max="9" width="14.7109375" bestFit="1" customWidth="1"/>
    <col min="10" max="11" width="12.85546875" bestFit="1" customWidth="1"/>
  </cols>
  <sheetData>
    <row r="1" spans="1:16" s="21" customFormat="1" ht="15.75" x14ac:dyDescent="0.25">
      <c r="A1" s="17" t="s">
        <v>53</v>
      </c>
      <c r="B1" s="18" t="s">
        <v>54</v>
      </c>
      <c r="C1" s="19" t="s">
        <v>139</v>
      </c>
      <c r="D1" s="18" t="s">
        <v>55</v>
      </c>
      <c r="E1" s="19" t="s">
        <v>140</v>
      </c>
      <c r="F1" s="20" t="s">
        <v>56</v>
      </c>
      <c r="G1" s="19" t="s">
        <v>141</v>
      </c>
      <c r="H1" s="18" t="s">
        <v>57</v>
      </c>
      <c r="I1" s="19" t="s">
        <v>58</v>
      </c>
      <c r="J1" s="19" t="s">
        <v>142</v>
      </c>
      <c r="K1" s="18" t="s">
        <v>59</v>
      </c>
      <c r="M1" s="21" t="s">
        <v>84</v>
      </c>
      <c r="N1" s="21" t="s">
        <v>36</v>
      </c>
      <c r="O1" s="21" t="s">
        <v>37</v>
      </c>
      <c r="P1" s="21" t="s">
        <v>38</v>
      </c>
    </row>
    <row r="2" spans="1:16" ht="15.75" x14ac:dyDescent="0.25">
      <c r="A2" s="15" t="s">
        <v>20</v>
      </c>
      <c r="B2" s="9">
        <v>100</v>
      </c>
      <c r="C2" s="9">
        <f>(B2/5)</f>
        <v>20</v>
      </c>
      <c r="D2" s="9">
        <v>62</v>
      </c>
      <c r="E2" s="9">
        <f>(D2/5)</f>
        <v>12.4</v>
      </c>
      <c r="F2" s="9">
        <v>100</v>
      </c>
      <c r="G2" s="9">
        <f>(F2/10)</f>
        <v>10</v>
      </c>
      <c r="H2" s="9">
        <f>SUM(C2,E2,G2)</f>
        <v>42.4</v>
      </c>
      <c r="I2" s="9">
        <v>88</v>
      </c>
      <c r="J2" s="9">
        <f>(I2/2)</f>
        <v>44</v>
      </c>
      <c r="K2" s="9">
        <f>SUM(H2,J2)</f>
        <v>86.4</v>
      </c>
      <c r="M2" t="s">
        <v>33</v>
      </c>
      <c r="N2">
        <f>AVERAGE(B2:B28)</f>
        <v>76.851851851851848</v>
      </c>
      <c r="O2">
        <f>AVERAGE(D2:D28)</f>
        <v>71.555555555555557</v>
      </c>
      <c r="P2">
        <f>AVERAGE(I2:I28)</f>
        <v>89.18518518518519</v>
      </c>
    </row>
    <row r="3" spans="1:16" ht="15.75" x14ac:dyDescent="0.25">
      <c r="A3" s="15" t="s">
        <v>18</v>
      </c>
      <c r="B3" s="9">
        <v>75</v>
      </c>
      <c r="C3" s="9">
        <f t="shared" ref="C3:C67" si="0">(B3/5)</f>
        <v>15</v>
      </c>
      <c r="D3" s="9">
        <v>81</v>
      </c>
      <c r="E3" s="9">
        <f t="shared" ref="E3:E67" si="1">(D3/5)</f>
        <v>16.2</v>
      </c>
      <c r="F3" s="9">
        <v>100</v>
      </c>
      <c r="G3" s="9">
        <f t="shared" ref="G3:G67" si="2">(F3/10)</f>
        <v>10</v>
      </c>
      <c r="H3" s="9">
        <f t="shared" ref="H3:H67" si="3">SUM(C3,E3,G3)</f>
        <v>41.2</v>
      </c>
      <c r="I3" s="9">
        <v>93</v>
      </c>
      <c r="J3" s="9">
        <f t="shared" ref="J3:J67" si="4">(I3/2)</f>
        <v>46.5</v>
      </c>
      <c r="K3" s="9">
        <f t="shared" ref="K3:K67" si="5">SUM(H3,J3)</f>
        <v>87.7</v>
      </c>
      <c r="M3" t="s">
        <v>34</v>
      </c>
      <c r="N3">
        <f>MAX(B2:B28)</f>
        <v>100</v>
      </c>
      <c r="O3">
        <f>MAX(D2:D28)</f>
        <v>91</v>
      </c>
      <c r="P3">
        <f>MAX(I2:I28)</f>
        <v>100</v>
      </c>
    </row>
    <row r="4" spans="1:16" ht="15.75" x14ac:dyDescent="0.25">
      <c r="A4" s="15" t="s">
        <v>60</v>
      </c>
      <c r="B4" s="9">
        <v>70</v>
      </c>
      <c r="C4" s="9">
        <f t="shared" si="0"/>
        <v>14</v>
      </c>
      <c r="D4" s="9">
        <v>64</v>
      </c>
      <c r="E4" s="9">
        <f t="shared" si="1"/>
        <v>12.8</v>
      </c>
      <c r="F4" s="9">
        <v>100</v>
      </c>
      <c r="G4" s="9">
        <f t="shared" si="2"/>
        <v>10</v>
      </c>
      <c r="H4" s="9">
        <f t="shared" si="3"/>
        <v>36.799999999999997</v>
      </c>
      <c r="I4" s="9">
        <v>93</v>
      </c>
      <c r="J4" s="9">
        <f t="shared" si="4"/>
        <v>46.5</v>
      </c>
      <c r="K4" s="9">
        <f t="shared" si="5"/>
        <v>83.3</v>
      </c>
      <c r="M4" t="s">
        <v>35</v>
      </c>
      <c r="N4">
        <f>MIN(B2:B28)</f>
        <v>0</v>
      </c>
      <c r="O4">
        <f>MIN(D2:D28)</f>
        <v>43</v>
      </c>
      <c r="P4">
        <f>MIN(J2:J28)</f>
        <v>33.5</v>
      </c>
    </row>
    <row r="5" spans="1:16" ht="15.75" x14ac:dyDescent="0.25">
      <c r="A5" s="15" t="s">
        <v>61</v>
      </c>
      <c r="B5" s="9">
        <v>95</v>
      </c>
      <c r="C5" s="9">
        <f t="shared" si="0"/>
        <v>19</v>
      </c>
      <c r="D5" s="9">
        <v>64</v>
      </c>
      <c r="E5" s="9">
        <f t="shared" si="1"/>
        <v>12.8</v>
      </c>
      <c r="F5" s="9">
        <v>100</v>
      </c>
      <c r="G5" s="9">
        <f t="shared" si="2"/>
        <v>10</v>
      </c>
      <c r="H5" s="9">
        <f t="shared" si="3"/>
        <v>41.8</v>
      </c>
      <c r="I5" s="9">
        <v>93</v>
      </c>
      <c r="J5" s="9">
        <f t="shared" si="4"/>
        <v>46.5</v>
      </c>
      <c r="K5" s="9">
        <f t="shared" si="5"/>
        <v>88.3</v>
      </c>
    </row>
    <row r="6" spans="1:16" ht="15.75" x14ac:dyDescent="0.25">
      <c r="A6" s="15" t="s">
        <v>19</v>
      </c>
      <c r="B6" s="9">
        <v>50</v>
      </c>
      <c r="C6" s="9">
        <f t="shared" si="0"/>
        <v>10</v>
      </c>
      <c r="D6" s="9">
        <v>43</v>
      </c>
      <c r="E6" s="9">
        <f t="shared" si="1"/>
        <v>8.6</v>
      </c>
      <c r="F6" s="9">
        <v>100</v>
      </c>
      <c r="G6" s="9">
        <f t="shared" si="2"/>
        <v>10</v>
      </c>
      <c r="H6" s="9">
        <f t="shared" si="3"/>
        <v>28.6</v>
      </c>
      <c r="I6" s="9">
        <v>85</v>
      </c>
      <c r="J6" s="9">
        <f t="shared" si="4"/>
        <v>42.5</v>
      </c>
      <c r="K6" s="9">
        <f t="shared" si="5"/>
        <v>71.099999999999994</v>
      </c>
    </row>
    <row r="7" spans="1:16" ht="15.75" x14ac:dyDescent="0.25">
      <c r="A7" s="15" t="s">
        <v>62</v>
      </c>
      <c r="B7" s="9">
        <v>90</v>
      </c>
      <c r="C7" s="9">
        <f t="shared" si="0"/>
        <v>18</v>
      </c>
      <c r="D7" s="9">
        <v>88</v>
      </c>
      <c r="E7" s="9">
        <f t="shared" si="1"/>
        <v>17.600000000000001</v>
      </c>
      <c r="F7" s="9">
        <v>100</v>
      </c>
      <c r="G7" s="9">
        <f t="shared" si="2"/>
        <v>10</v>
      </c>
      <c r="H7" s="9">
        <f t="shared" si="3"/>
        <v>45.6</v>
      </c>
      <c r="I7" s="9">
        <v>100</v>
      </c>
      <c r="J7" s="9">
        <f t="shared" si="4"/>
        <v>50</v>
      </c>
      <c r="K7" s="9">
        <f t="shared" si="5"/>
        <v>95.6</v>
      </c>
    </row>
    <row r="8" spans="1:16" ht="15.75" x14ac:dyDescent="0.25">
      <c r="A8" s="15" t="s">
        <v>9</v>
      </c>
      <c r="B8" s="9">
        <v>90</v>
      </c>
      <c r="C8" s="9">
        <f t="shared" si="0"/>
        <v>18</v>
      </c>
      <c r="D8" s="9">
        <v>75</v>
      </c>
      <c r="E8" s="9">
        <f t="shared" si="1"/>
        <v>15</v>
      </c>
      <c r="F8" s="9">
        <v>100</v>
      </c>
      <c r="G8" s="9">
        <f t="shared" si="2"/>
        <v>10</v>
      </c>
      <c r="H8" s="9">
        <f t="shared" si="3"/>
        <v>43</v>
      </c>
      <c r="I8" s="9">
        <v>100</v>
      </c>
      <c r="J8" s="9">
        <f t="shared" si="4"/>
        <v>50</v>
      </c>
      <c r="K8" s="9">
        <f t="shared" si="5"/>
        <v>93</v>
      </c>
    </row>
    <row r="9" spans="1:16" ht="15.75" x14ac:dyDescent="0.25">
      <c r="A9" s="15" t="s">
        <v>63</v>
      </c>
      <c r="B9" s="9">
        <v>80</v>
      </c>
      <c r="C9" s="9">
        <f t="shared" si="0"/>
        <v>16</v>
      </c>
      <c r="D9" s="9">
        <v>68</v>
      </c>
      <c r="E9" s="9">
        <f t="shared" si="1"/>
        <v>13.6</v>
      </c>
      <c r="F9" s="9">
        <v>100</v>
      </c>
      <c r="G9" s="9">
        <f t="shared" si="2"/>
        <v>10</v>
      </c>
      <c r="H9" s="9">
        <f t="shared" si="3"/>
        <v>39.6</v>
      </c>
      <c r="I9" s="9">
        <v>82</v>
      </c>
      <c r="J9" s="9">
        <f t="shared" si="4"/>
        <v>41</v>
      </c>
      <c r="K9" s="9">
        <f t="shared" si="5"/>
        <v>80.599999999999994</v>
      </c>
    </row>
    <row r="10" spans="1:16" ht="15.75" x14ac:dyDescent="0.25">
      <c r="A10" s="15" t="s">
        <v>64</v>
      </c>
      <c r="B10" s="9">
        <v>85</v>
      </c>
      <c r="C10" s="9">
        <f t="shared" si="0"/>
        <v>17</v>
      </c>
      <c r="D10" s="9">
        <v>71</v>
      </c>
      <c r="E10" s="9">
        <f t="shared" si="1"/>
        <v>14.2</v>
      </c>
      <c r="F10" s="9">
        <v>100</v>
      </c>
      <c r="G10" s="9">
        <f t="shared" si="2"/>
        <v>10</v>
      </c>
      <c r="H10" s="9">
        <f t="shared" si="3"/>
        <v>41.2</v>
      </c>
      <c r="I10" s="9">
        <v>80</v>
      </c>
      <c r="J10" s="9">
        <f t="shared" si="4"/>
        <v>40</v>
      </c>
      <c r="K10" s="9">
        <f t="shared" si="5"/>
        <v>81.2</v>
      </c>
    </row>
    <row r="11" spans="1:16" ht="15.75" x14ac:dyDescent="0.25">
      <c r="A11" s="15" t="s">
        <v>10</v>
      </c>
      <c r="B11" s="9">
        <v>95</v>
      </c>
      <c r="C11" s="9">
        <f t="shared" si="0"/>
        <v>19</v>
      </c>
      <c r="D11" s="9">
        <v>83</v>
      </c>
      <c r="E11" s="9">
        <f t="shared" si="1"/>
        <v>16.600000000000001</v>
      </c>
      <c r="F11" s="9">
        <v>100</v>
      </c>
      <c r="G11" s="9">
        <f t="shared" si="2"/>
        <v>10</v>
      </c>
      <c r="H11" s="9">
        <f t="shared" si="3"/>
        <v>45.6</v>
      </c>
      <c r="I11" s="9">
        <v>93</v>
      </c>
      <c r="J11" s="9">
        <f t="shared" si="4"/>
        <v>46.5</v>
      </c>
      <c r="K11" s="9">
        <f t="shared" si="5"/>
        <v>92.1</v>
      </c>
    </row>
    <row r="12" spans="1:16" ht="15.75" x14ac:dyDescent="0.25">
      <c r="A12" s="15" t="s">
        <v>17</v>
      </c>
      <c r="B12" s="9">
        <v>0</v>
      </c>
      <c r="C12" s="9">
        <f t="shared" si="0"/>
        <v>0</v>
      </c>
      <c r="D12" s="9">
        <v>53</v>
      </c>
      <c r="E12" s="9">
        <f t="shared" si="1"/>
        <v>10.6</v>
      </c>
      <c r="F12" s="9">
        <v>100</v>
      </c>
      <c r="G12" s="9">
        <f t="shared" si="2"/>
        <v>10</v>
      </c>
      <c r="H12" s="9">
        <f t="shared" si="3"/>
        <v>20.6</v>
      </c>
      <c r="I12" s="9">
        <v>97</v>
      </c>
      <c r="J12" s="9">
        <f t="shared" si="4"/>
        <v>48.5</v>
      </c>
      <c r="K12" s="9">
        <f t="shared" si="5"/>
        <v>69.099999999999994</v>
      </c>
    </row>
    <row r="13" spans="1:16" ht="15.75" x14ac:dyDescent="0.25">
      <c r="A13" s="15" t="s">
        <v>65</v>
      </c>
      <c r="B13" s="9">
        <v>80</v>
      </c>
      <c r="C13" s="9">
        <f t="shared" si="0"/>
        <v>16</v>
      </c>
      <c r="D13" s="9">
        <v>85</v>
      </c>
      <c r="E13" s="9">
        <f t="shared" si="1"/>
        <v>17</v>
      </c>
      <c r="F13" s="9">
        <v>100</v>
      </c>
      <c r="G13" s="9">
        <f t="shared" si="2"/>
        <v>10</v>
      </c>
      <c r="H13" s="9">
        <f t="shared" si="3"/>
        <v>43</v>
      </c>
      <c r="I13" s="9">
        <v>94</v>
      </c>
      <c r="J13" s="9">
        <f t="shared" si="4"/>
        <v>47</v>
      </c>
      <c r="K13" s="9">
        <f t="shared" si="5"/>
        <v>90</v>
      </c>
    </row>
    <row r="14" spans="1:16" ht="15.75" x14ac:dyDescent="0.25">
      <c r="A14" s="15" t="s">
        <v>11</v>
      </c>
      <c r="B14" s="9">
        <v>85</v>
      </c>
      <c r="C14" s="9">
        <f t="shared" si="0"/>
        <v>17</v>
      </c>
      <c r="D14" s="9">
        <v>76</v>
      </c>
      <c r="E14" s="9">
        <f t="shared" si="1"/>
        <v>15.2</v>
      </c>
      <c r="F14" s="9">
        <v>100</v>
      </c>
      <c r="G14" s="9">
        <f t="shared" si="2"/>
        <v>10</v>
      </c>
      <c r="H14" s="9">
        <f t="shared" si="3"/>
        <v>42.2</v>
      </c>
      <c r="I14" s="9">
        <v>94</v>
      </c>
      <c r="J14" s="9">
        <f t="shared" si="4"/>
        <v>47</v>
      </c>
      <c r="K14" s="9">
        <f t="shared" si="5"/>
        <v>89.2</v>
      </c>
    </row>
    <row r="15" spans="1:16" ht="15.75" x14ac:dyDescent="0.25">
      <c r="A15" s="15" t="s">
        <v>66</v>
      </c>
      <c r="B15" s="9">
        <v>90</v>
      </c>
      <c r="C15" s="9">
        <f t="shared" si="0"/>
        <v>18</v>
      </c>
      <c r="D15" s="9">
        <v>84</v>
      </c>
      <c r="E15" s="9">
        <f t="shared" si="1"/>
        <v>16.8</v>
      </c>
      <c r="F15" s="9">
        <v>100</v>
      </c>
      <c r="G15" s="9">
        <f t="shared" si="2"/>
        <v>10</v>
      </c>
      <c r="H15" s="9">
        <f t="shared" si="3"/>
        <v>44.8</v>
      </c>
      <c r="I15" s="9">
        <v>97</v>
      </c>
      <c r="J15" s="9">
        <f t="shared" si="4"/>
        <v>48.5</v>
      </c>
      <c r="K15" s="9">
        <f t="shared" si="5"/>
        <v>93.3</v>
      </c>
    </row>
    <row r="16" spans="1:16" ht="15.75" x14ac:dyDescent="0.25">
      <c r="A16" s="15" t="s">
        <v>12</v>
      </c>
      <c r="B16" s="9">
        <v>70</v>
      </c>
      <c r="C16" s="9">
        <f t="shared" si="0"/>
        <v>14</v>
      </c>
      <c r="D16" s="9">
        <v>86</v>
      </c>
      <c r="E16" s="9">
        <f t="shared" si="1"/>
        <v>17.2</v>
      </c>
      <c r="F16" s="9">
        <v>100</v>
      </c>
      <c r="G16" s="9">
        <f t="shared" si="2"/>
        <v>10</v>
      </c>
      <c r="H16" s="9">
        <f t="shared" si="3"/>
        <v>41.2</v>
      </c>
      <c r="I16" s="9">
        <v>83</v>
      </c>
      <c r="J16" s="9">
        <f t="shared" si="4"/>
        <v>41.5</v>
      </c>
      <c r="K16" s="9">
        <f t="shared" si="5"/>
        <v>82.7</v>
      </c>
    </row>
    <row r="17" spans="1:11" ht="15.75" x14ac:dyDescent="0.25">
      <c r="A17" s="15" t="s">
        <v>67</v>
      </c>
      <c r="B17" s="9">
        <v>70</v>
      </c>
      <c r="C17" s="9">
        <f t="shared" si="0"/>
        <v>14</v>
      </c>
      <c r="D17" s="9">
        <v>54</v>
      </c>
      <c r="E17" s="9">
        <f t="shared" si="1"/>
        <v>10.8</v>
      </c>
      <c r="F17" s="9">
        <v>100</v>
      </c>
      <c r="G17" s="9">
        <f t="shared" si="2"/>
        <v>10</v>
      </c>
      <c r="H17" s="9">
        <f t="shared" si="3"/>
        <v>34.799999999999997</v>
      </c>
      <c r="I17" s="9">
        <v>84</v>
      </c>
      <c r="J17" s="9">
        <f t="shared" si="4"/>
        <v>42</v>
      </c>
      <c r="K17" s="9">
        <f t="shared" si="5"/>
        <v>76.8</v>
      </c>
    </row>
    <row r="18" spans="1:11" ht="15.75" x14ac:dyDescent="0.25">
      <c r="A18" s="15" t="s">
        <v>68</v>
      </c>
      <c r="B18" s="9">
        <v>65</v>
      </c>
      <c r="C18" s="9">
        <f t="shared" si="0"/>
        <v>13</v>
      </c>
      <c r="D18" s="9">
        <v>76</v>
      </c>
      <c r="E18" s="9">
        <f t="shared" si="1"/>
        <v>15.2</v>
      </c>
      <c r="F18" s="9">
        <v>100</v>
      </c>
      <c r="G18" s="9">
        <f t="shared" si="2"/>
        <v>10</v>
      </c>
      <c r="H18" s="9">
        <f t="shared" si="3"/>
        <v>38.200000000000003</v>
      </c>
      <c r="I18" s="9">
        <v>82</v>
      </c>
      <c r="J18" s="9">
        <f t="shared" si="4"/>
        <v>41</v>
      </c>
      <c r="K18" s="9">
        <f t="shared" si="5"/>
        <v>79.2</v>
      </c>
    </row>
    <row r="19" spans="1:11" ht="15.75" x14ac:dyDescent="0.25">
      <c r="A19" s="15" t="s">
        <v>24</v>
      </c>
      <c r="B19" s="9">
        <v>90</v>
      </c>
      <c r="C19" s="9">
        <f t="shared" si="0"/>
        <v>18</v>
      </c>
      <c r="D19" s="9">
        <v>71</v>
      </c>
      <c r="E19" s="9">
        <f t="shared" si="1"/>
        <v>14.2</v>
      </c>
      <c r="F19" s="9">
        <v>100</v>
      </c>
      <c r="G19" s="9">
        <f t="shared" si="2"/>
        <v>10</v>
      </c>
      <c r="H19" s="9">
        <f t="shared" si="3"/>
        <v>42.2</v>
      </c>
      <c r="I19" s="9">
        <v>86</v>
      </c>
      <c r="J19" s="9">
        <f t="shared" si="4"/>
        <v>43</v>
      </c>
      <c r="K19" s="9">
        <f t="shared" si="5"/>
        <v>85.2</v>
      </c>
    </row>
    <row r="20" spans="1:11" ht="15.75" x14ac:dyDescent="0.25">
      <c r="A20" s="15" t="s">
        <v>69</v>
      </c>
      <c r="B20" s="9">
        <v>100</v>
      </c>
      <c r="C20" s="9">
        <f t="shared" si="0"/>
        <v>20</v>
      </c>
      <c r="D20" s="9">
        <v>91</v>
      </c>
      <c r="E20" s="9">
        <f>(D20/5)</f>
        <v>18.2</v>
      </c>
      <c r="F20" s="9">
        <v>100</v>
      </c>
      <c r="G20" s="9">
        <f t="shared" si="2"/>
        <v>10</v>
      </c>
      <c r="H20" s="9">
        <f t="shared" si="3"/>
        <v>48.2</v>
      </c>
      <c r="I20" s="9">
        <v>100</v>
      </c>
      <c r="J20" s="9">
        <f t="shared" si="4"/>
        <v>50</v>
      </c>
      <c r="K20" s="9">
        <f t="shared" si="5"/>
        <v>98.2</v>
      </c>
    </row>
    <row r="21" spans="1:11" ht="15.75" x14ac:dyDescent="0.25">
      <c r="A21" s="15" t="s">
        <v>70</v>
      </c>
      <c r="B21" s="9">
        <v>30</v>
      </c>
      <c r="C21" s="9">
        <f t="shared" si="0"/>
        <v>6</v>
      </c>
      <c r="D21" s="9">
        <v>78</v>
      </c>
      <c r="E21" s="9">
        <f t="shared" si="1"/>
        <v>15.6</v>
      </c>
      <c r="F21" s="9">
        <v>100</v>
      </c>
      <c r="G21" s="9">
        <f t="shared" si="2"/>
        <v>10</v>
      </c>
      <c r="H21" s="9">
        <f t="shared" si="3"/>
        <v>31.6</v>
      </c>
      <c r="I21" s="9">
        <v>92</v>
      </c>
      <c r="J21" s="9">
        <f t="shared" si="4"/>
        <v>46</v>
      </c>
      <c r="K21" s="9">
        <f t="shared" si="5"/>
        <v>77.599999999999994</v>
      </c>
    </row>
    <row r="22" spans="1:11" ht="15.75" x14ac:dyDescent="0.25">
      <c r="A22" s="15" t="s">
        <v>71</v>
      </c>
      <c r="B22" s="9">
        <v>70</v>
      </c>
      <c r="C22" s="9">
        <f t="shared" si="0"/>
        <v>14</v>
      </c>
      <c r="D22" s="9">
        <v>65</v>
      </c>
      <c r="E22" s="9">
        <f t="shared" si="1"/>
        <v>13</v>
      </c>
      <c r="F22" s="9">
        <v>100</v>
      </c>
      <c r="G22" s="9">
        <f t="shared" si="2"/>
        <v>10</v>
      </c>
      <c r="H22" s="9">
        <f t="shared" si="3"/>
        <v>37</v>
      </c>
      <c r="I22" s="9">
        <v>83</v>
      </c>
      <c r="J22" s="9">
        <f t="shared" si="4"/>
        <v>41.5</v>
      </c>
      <c r="K22" s="9">
        <f t="shared" si="5"/>
        <v>78.5</v>
      </c>
    </row>
    <row r="23" spans="1:11" ht="15.75" x14ac:dyDescent="0.25">
      <c r="A23" s="15" t="s">
        <v>72</v>
      </c>
      <c r="B23" s="9">
        <v>50</v>
      </c>
      <c r="C23" s="9">
        <f t="shared" si="0"/>
        <v>10</v>
      </c>
      <c r="D23" s="9">
        <v>48</v>
      </c>
      <c r="E23" s="9">
        <f t="shared" si="1"/>
        <v>9.6</v>
      </c>
      <c r="F23" s="9">
        <v>100</v>
      </c>
      <c r="G23" s="9">
        <f t="shared" si="2"/>
        <v>10</v>
      </c>
      <c r="H23" s="9">
        <f t="shared" si="3"/>
        <v>29.6</v>
      </c>
      <c r="I23" s="9">
        <v>67</v>
      </c>
      <c r="J23" s="9">
        <f t="shared" si="4"/>
        <v>33.5</v>
      </c>
      <c r="K23" s="9">
        <f t="shared" si="5"/>
        <v>63.1</v>
      </c>
    </row>
    <row r="24" spans="1:11" ht="15.75" x14ac:dyDescent="0.25">
      <c r="A24" s="15" t="s">
        <v>73</v>
      </c>
      <c r="B24" s="9">
        <v>80</v>
      </c>
      <c r="C24" s="9">
        <f t="shared" si="0"/>
        <v>16</v>
      </c>
      <c r="D24" s="9">
        <v>75</v>
      </c>
      <c r="E24" s="9">
        <f t="shared" si="1"/>
        <v>15</v>
      </c>
      <c r="F24" s="9">
        <v>100</v>
      </c>
      <c r="G24" s="9">
        <f t="shared" si="2"/>
        <v>10</v>
      </c>
      <c r="H24" s="9">
        <f t="shared" si="3"/>
        <v>41</v>
      </c>
      <c r="I24" s="9">
        <v>92</v>
      </c>
      <c r="J24" s="9">
        <f t="shared" si="4"/>
        <v>46</v>
      </c>
      <c r="K24" s="9">
        <f t="shared" si="5"/>
        <v>87</v>
      </c>
    </row>
    <row r="25" spans="1:11" ht="15.75" x14ac:dyDescent="0.25">
      <c r="A25" s="15" t="s">
        <v>74</v>
      </c>
      <c r="B25" s="9">
        <v>100</v>
      </c>
      <c r="C25" s="9">
        <f t="shared" si="0"/>
        <v>20</v>
      </c>
      <c r="D25" s="9">
        <v>91</v>
      </c>
      <c r="E25" s="9">
        <f t="shared" si="1"/>
        <v>18.2</v>
      </c>
      <c r="F25" s="9">
        <v>100</v>
      </c>
      <c r="G25" s="9">
        <f t="shared" si="2"/>
        <v>10</v>
      </c>
      <c r="H25" s="9">
        <f t="shared" si="3"/>
        <v>48.2</v>
      </c>
      <c r="I25" s="9">
        <v>94</v>
      </c>
      <c r="J25" s="9">
        <f t="shared" si="4"/>
        <v>47</v>
      </c>
      <c r="K25" s="9">
        <f t="shared" si="5"/>
        <v>95.2</v>
      </c>
    </row>
    <row r="26" spans="1:11" ht="15.75" x14ac:dyDescent="0.25">
      <c r="A26" s="15" t="s">
        <v>16</v>
      </c>
      <c r="B26" s="9">
        <v>80</v>
      </c>
      <c r="C26" s="9">
        <f t="shared" si="0"/>
        <v>16</v>
      </c>
      <c r="D26" s="9">
        <v>75</v>
      </c>
      <c r="E26" s="9">
        <f t="shared" si="1"/>
        <v>15</v>
      </c>
      <c r="F26" s="9">
        <v>100</v>
      </c>
      <c r="G26" s="9">
        <f t="shared" si="2"/>
        <v>10</v>
      </c>
      <c r="H26" s="9">
        <f t="shared" si="3"/>
        <v>41</v>
      </c>
      <c r="I26" s="9">
        <v>92</v>
      </c>
      <c r="J26" s="9">
        <f t="shared" si="4"/>
        <v>46</v>
      </c>
      <c r="K26" s="9">
        <f t="shared" si="5"/>
        <v>87</v>
      </c>
    </row>
    <row r="27" spans="1:11" ht="15.75" x14ac:dyDescent="0.25">
      <c r="A27" s="15" t="s">
        <v>29</v>
      </c>
      <c r="B27" s="9">
        <v>95</v>
      </c>
      <c r="C27" s="9">
        <f t="shared" si="0"/>
        <v>19</v>
      </c>
      <c r="D27" s="9">
        <v>49</v>
      </c>
      <c r="E27" s="9">
        <f t="shared" si="1"/>
        <v>9.8000000000000007</v>
      </c>
      <c r="F27" s="9">
        <v>100</v>
      </c>
      <c r="G27" s="9">
        <f t="shared" si="2"/>
        <v>10</v>
      </c>
      <c r="H27" s="9">
        <f t="shared" si="3"/>
        <v>38.799999999999997</v>
      </c>
      <c r="I27" s="9">
        <v>80</v>
      </c>
      <c r="J27" s="9">
        <f t="shared" si="4"/>
        <v>40</v>
      </c>
      <c r="K27" s="9">
        <f t="shared" si="5"/>
        <v>78.8</v>
      </c>
    </row>
    <row r="28" spans="1:11" ht="15.75" x14ac:dyDescent="0.25">
      <c r="A28" s="15" t="s">
        <v>30</v>
      </c>
      <c r="B28" s="9">
        <v>90</v>
      </c>
      <c r="C28" s="9">
        <f t="shared" si="0"/>
        <v>18</v>
      </c>
      <c r="D28" s="9">
        <v>76</v>
      </c>
      <c r="E28" s="9">
        <f t="shared" si="1"/>
        <v>15.2</v>
      </c>
      <c r="F28" s="9">
        <v>100</v>
      </c>
      <c r="G28" s="9">
        <f t="shared" si="2"/>
        <v>10</v>
      </c>
      <c r="H28" s="9">
        <f t="shared" si="3"/>
        <v>43.2</v>
      </c>
      <c r="I28" s="9">
        <v>84</v>
      </c>
      <c r="J28" s="9">
        <f t="shared" si="4"/>
        <v>42</v>
      </c>
      <c r="K28" s="9">
        <f t="shared" si="5"/>
        <v>85.2</v>
      </c>
    </row>
    <row r="29" spans="1:11" ht="15.75" x14ac:dyDescent="0.25">
      <c r="A29" s="7" t="s">
        <v>145</v>
      </c>
      <c r="B29" s="12"/>
      <c r="C29" s="9">
        <f>(B29/5)</f>
        <v>0</v>
      </c>
      <c r="D29" s="13"/>
      <c r="E29" s="9">
        <f>(D29/5)</f>
        <v>0</v>
      </c>
      <c r="F29" s="9">
        <v>100</v>
      </c>
      <c r="G29" s="9">
        <f>(F29/10)</f>
        <v>10</v>
      </c>
      <c r="H29" s="9">
        <f>SUM(C29,E29,G29)</f>
        <v>10</v>
      </c>
      <c r="I29" s="13"/>
      <c r="J29" s="9">
        <f>(I29/2)</f>
        <v>0</v>
      </c>
      <c r="K29" s="9">
        <f>SUM(H29,J29)</f>
        <v>10</v>
      </c>
    </row>
    <row r="30" spans="1:11" ht="15.75" x14ac:dyDescent="0.25">
      <c r="A30" s="6" t="s">
        <v>88</v>
      </c>
      <c r="B30" s="10">
        <v>60</v>
      </c>
      <c r="C30" s="9">
        <f t="shared" si="0"/>
        <v>12</v>
      </c>
      <c r="D30" s="11">
        <v>43</v>
      </c>
      <c r="E30" s="9">
        <f t="shared" si="1"/>
        <v>8.6</v>
      </c>
      <c r="F30" s="9">
        <v>100</v>
      </c>
      <c r="G30" s="9">
        <f t="shared" si="2"/>
        <v>10</v>
      </c>
      <c r="H30" s="9">
        <f t="shared" si="3"/>
        <v>30.6</v>
      </c>
      <c r="I30" s="11">
        <v>72</v>
      </c>
      <c r="J30" s="9">
        <f t="shared" si="4"/>
        <v>36</v>
      </c>
      <c r="K30" s="9">
        <f t="shared" si="5"/>
        <v>66.599999999999994</v>
      </c>
    </row>
    <row r="31" spans="1:11" ht="15.75" x14ac:dyDescent="0.25">
      <c r="A31" s="7" t="s">
        <v>89</v>
      </c>
      <c r="B31" s="12">
        <v>80</v>
      </c>
      <c r="C31" s="9">
        <f t="shared" si="0"/>
        <v>16</v>
      </c>
      <c r="D31" s="13">
        <v>37</v>
      </c>
      <c r="E31" s="9">
        <f t="shared" si="1"/>
        <v>7.4</v>
      </c>
      <c r="F31" s="9">
        <v>100</v>
      </c>
      <c r="G31" s="9">
        <f t="shared" si="2"/>
        <v>10</v>
      </c>
      <c r="H31" s="9">
        <f t="shared" si="3"/>
        <v>33.4</v>
      </c>
      <c r="I31" s="13">
        <v>58</v>
      </c>
      <c r="J31" s="9">
        <f t="shared" si="4"/>
        <v>29</v>
      </c>
      <c r="K31" s="9">
        <f t="shared" si="5"/>
        <v>62.4</v>
      </c>
    </row>
    <row r="32" spans="1:11" ht="15.75" x14ac:dyDescent="0.25">
      <c r="A32" s="7" t="s">
        <v>90</v>
      </c>
      <c r="B32" s="12">
        <v>60</v>
      </c>
      <c r="C32" s="9">
        <f t="shared" si="0"/>
        <v>12</v>
      </c>
      <c r="D32" s="13">
        <v>69</v>
      </c>
      <c r="E32" s="9">
        <f t="shared" si="1"/>
        <v>13.8</v>
      </c>
      <c r="F32" s="9">
        <v>100</v>
      </c>
      <c r="G32" s="9">
        <f t="shared" si="2"/>
        <v>10</v>
      </c>
      <c r="H32" s="9">
        <f t="shared" si="3"/>
        <v>35.799999999999997</v>
      </c>
      <c r="I32" s="13">
        <v>74</v>
      </c>
      <c r="J32" s="9">
        <f t="shared" si="4"/>
        <v>37</v>
      </c>
      <c r="K32" s="9">
        <f t="shared" si="5"/>
        <v>72.8</v>
      </c>
    </row>
    <row r="33" spans="1:11" ht="15.75" x14ac:dyDescent="0.25">
      <c r="A33" s="7" t="s">
        <v>91</v>
      </c>
      <c r="B33" s="12">
        <v>80</v>
      </c>
      <c r="C33" s="9">
        <f t="shared" si="0"/>
        <v>16</v>
      </c>
      <c r="D33" s="13">
        <v>56</v>
      </c>
      <c r="E33" s="9">
        <f t="shared" si="1"/>
        <v>11.2</v>
      </c>
      <c r="F33" s="9">
        <v>100</v>
      </c>
      <c r="G33" s="9">
        <f t="shared" si="2"/>
        <v>10</v>
      </c>
      <c r="H33" s="9">
        <f t="shared" si="3"/>
        <v>37.200000000000003</v>
      </c>
      <c r="I33" s="13">
        <v>66</v>
      </c>
      <c r="J33" s="9">
        <f t="shared" si="4"/>
        <v>33</v>
      </c>
      <c r="K33" s="9">
        <f t="shared" si="5"/>
        <v>70.2</v>
      </c>
    </row>
    <row r="34" spans="1:11" ht="15.75" x14ac:dyDescent="0.25">
      <c r="A34" s="7" t="s">
        <v>92</v>
      </c>
      <c r="B34" s="12">
        <v>60</v>
      </c>
      <c r="C34" s="9">
        <f t="shared" si="0"/>
        <v>12</v>
      </c>
      <c r="D34" s="13">
        <v>36</v>
      </c>
      <c r="E34" s="9">
        <f t="shared" si="1"/>
        <v>7.2</v>
      </c>
      <c r="F34" s="9">
        <v>100</v>
      </c>
      <c r="G34" s="9">
        <f t="shared" si="2"/>
        <v>10</v>
      </c>
      <c r="H34" s="9">
        <f t="shared" si="3"/>
        <v>29.2</v>
      </c>
      <c r="I34" s="13">
        <v>72</v>
      </c>
      <c r="J34" s="9">
        <f t="shared" si="4"/>
        <v>36</v>
      </c>
      <c r="K34" s="9">
        <f t="shared" si="5"/>
        <v>65.2</v>
      </c>
    </row>
    <row r="35" spans="1:11" ht="15.75" x14ac:dyDescent="0.25">
      <c r="A35" s="7" t="s">
        <v>93</v>
      </c>
      <c r="B35" s="12">
        <v>100</v>
      </c>
      <c r="C35" s="9">
        <f t="shared" si="0"/>
        <v>20</v>
      </c>
      <c r="D35" s="13">
        <v>58</v>
      </c>
      <c r="E35" s="9">
        <f t="shared" si="1"/>
        <v>11.6</v>
      </c>
      <c r="F35" s="9">
        <v>100</v>
      </c>
      <c r="G35" s="9">
        <f t="shared" si="2"/>
        <v>10</v>
      </c>
      <c r="H35" s="9">
        <f t="shared" si="3"/>
        <v>41.6</v>
      </c>
      <c r="I35" s="13">
        <v>84</v>
      </c>
      <c r="J35" s="9">
        <f t="shared" si="4"/>
        <v>42</v>
      </c>
      <c r="K35" s="9">
        <f t="shared" si="5"/>
        <v>83.6</v>
      </c>
    </row>
    <row r="36" spans="1:11" ht="15.75" x14ac:dyDescent="0.25">
      <c r="A36" s="7" t="s">
        <v>94</v>
      </c>
      <c r="B36" s="12">
        <v>80</v>
      </c>
      <c r="C36" s="9">
        <f t="shared" si="0"/>
        <v>16</v>
      </c>
      <c r="D36" s="13">
        <v>53</v>
      </c>
      <c r="E36" s="9">
        <f t="shared" si="1"/>
        <v>10.6</v>
      </c>
      <c r="F36" s="9">
        <v>100</v>
      </c>
      <c r="G36" s="9">
        <f t="shared" si="2"/>
        <v>10</v>
      </c>
      <c r="H36" s="9">
        <f t="shared" si="3"/>
        <v>36.6</v>
      </c>
      <c r="I36" s="13">
        <v>70</v>
      </c>
      <c r="J36" s="9">
        <f t="shared" si="4"/>
        <v>35</v>
      </c>
      <c r="K36" s="9">
        <f t="shared" si="5"/>
        <v>71.599999999999994</v>
      </c>
    </row>
    <row r="37" spans="1:11" ht="15.75" x14ac:dyDescent="0.25">
      <c r="A37" s="7" t="s">
        <v>95</v>
      </c>
      <c r="B37" s="12">
        <v>80</v>
      </c>
      <c r="C37" s="9">
        <f t="shared" si="0"/>
        <v>16</v>
      </c>
      <c r="D37" s="13">
        <v>33</v>
      </c>
      <c r="E37" s="9">
        <f t="shared" si="1"/>
        <v>6.6</v>
      </c>
      <c r="F37" s="9">
        <v>100</v>
      </c>
      <c r="G37" s="9">
        <f t="shared" si="2"/>
        <v>10</v>
      </c>
      <c r="H37" s="9">
        <f t="shared" si="3"/>
        <v>32.6</v>
      </c>
      <c r="I37" s="13">
        <v>76</v>
      </c>
      <c r="J37" s="9">
        <f t="shared" si="4"/>
        <v>38</v>
      </c>
      <c r="K37" s="9">
        <f t="shared" si="5"/>
        <v>70.599999999999994</v>
      </c>
    </row>
    <row r="38" spans="1:11" ht="15.75" x14ac:dyDescent="0.25">
      <c r="A38" s="7" t="s">
        <v>96</v>
      </c>
      <c r="B38" s="12">
        <v>60</v>
      </c>
      <c r="C38" s="9">
        <f t="shared" si="0"/>
        <v>12</v>
      </c>
      <c r="D38" s="13">
        <v>68</v>
      </c>
      <c r="E38" s="9">
        <f t="shared" si="1"/>
        <v>13.6</v>
      </c>
      <c r="F38" s="9">
        <v>100</v>
      </c>
      <c r="G38" s="9">
        <f t="shared" si="2"/>
        <v>10</v>
      </c>
      <c r="H38" s="9">
        <f t="shared" si="3"/>
        <v>35.6</v>
      </c>
      <c r="I38" s="13">
        <v>84</v>
      </c>
      <c r="J38" s="9">
        <f t="shared" si="4"/>
        <v>42</v>
      </c>
      <c r="K38" s="9">
        <f t="shared" si="5"/>
        <v>77.599999999999994</v>
      </c>
    </row>
    <row r="39" spans="1:11" ht="15.75" x14ac:dyDescent="0.25">
      <c r="A39" s="7" t="s">
        <v>97</v>
      </c>
      <c r="B39" s="12">
        <v>100</v>
      </c>
      <c r="C39" s="9">
        <f t="shared" si="0"/>
        <v>20</v>
      </c>
      <c r="D39" s="13">
        <v>76</v>
      </c>
      <c r="E39" s="9">
        <f t="shared" si="1"/>
        <v>15.2</v>
      </c>
      <c r="F39" s="9">
        <v>100</v>
      </c>
      <c r="G39" s="9">
        <f t="shared" si="2"/>
        <v>10</v>
      </c>
      <c r="H39" s="9">
        <f t="shared" si="3"/>
        <v>45.2</v>
      </c>
      <c r="I39" s="13">
        <v>74</v>
      </c>
      <c r="J39" s="9">
        <f t="shared" si="4"/>
        <v>37</v>
      </c>
      <c r="K39" s="9">
        <f t="shared" si="5"/>
        <v>82.2</v>
      </c>
    </row>
    <row r="40" spans="1:11" ht="15.75" x14ac:dyDescent="0.25">
      <c r="A40" s="7" t="s">
        <v>98</v>
      </c>
      <c r="B40" s="12">
        <v>60</v>
      </c>
      <c r="C40" s="9">
        <f t="shared" si="0"/>
        <v>12</v>
      </c>
      <c r="D40" s="13">
        <v>47</v>
      </c>
      <c r="E40" s="9">
        <f t="shared" si="1"/>
        <v>9.4</v>
      </c>
      <c r="F40" s="9">
        <v>100</v>
      </c>
      <c r="G40" s="9">
        <f t="shared" si="2"/>
        <v>10</v>
      </c>
      <c r="H40" s="9">
        <f t="shared" si="3"/>
        <v>31.4</v>
      </c>
      <c r="I40" s="13">
        <v>64</v>
      </c>
      <c r="J40" s="9">
        <f t="shared" si="4"/>
        <v>32</v>
      </c>
      <c r="K40" s="9">
        <f t="shared" si="5"/>
        <v>63.4</v>
      </c>
    </row>
    <row r="41" spans="1:11" ht="15.75" x14ac:dyDescent="0.25">
      <c r="A41" s="7" t="s">
        <v>99</v>
      </c>
      <c r="B41" s="12">
        <v>90</v>
      </c>
      <c r="C41" s="9">
        <f t="shared" si="0"/>
        <v>18</v>
      </c>
      <c r="D41" s="13">
        <v>72</v>
      </c>
      <c r="E41" s="9">
        <f t="shared" si="1"/>
        <v>14.4</v>
      </c>
      <c r="F41" s="9">
        <v>100</v>
      </c>
      <c r="G41" s="9">
        <f t="shared" si="2"/>
        <v>10</v>
      </c>
      <c r="H41" s="9">
        <f t="shared" si="3"/>
        <v>42.4</v>
      </c>
      <c r="I41" s="13">
        <v>90</v>
      </c>
      <c r="J41" s="9">
        <f t="shared" si="4"/>
        <v>45</v>
      </c>
      <c r="K41" s="9">
        <f t="shared" si="5"/>
        <v>87.4</v>
      </c>
    </row>
    <row r="42" spans="1:11" ht="15.75" x14ac:dyDescent="0.25">
      <c r="A42" s="7" t="s">
        <v>100</v>
      </c>
      <c r="B42" s="12">
        <v>80</v>
      </c>
      <c r="C42" s="9">
        <f t="shared" si="0"/>
        <v>16</v>
      </c>
      <c r="D42" s="13">
        <v>70</v>
      </c>
      <c r="E42" s="9">
        <f t="shared" si="1"/>
        <v>14</v>
      </c>
      <c r="F42" s="9">
        <v>100</v>
      </c>
      <c r="G42" s="9">
        <f t="shared" si="2"/>
        <v>10</v>
      </c>
      <c r="H42" s="9">
        <f t="shared" si="3"/>
        <v>40</v>
      </c>
      <c r="I42" s="13">
        <v>78</v>
      </c>
      <c r="J42" s="9">
        <f t="shared" si="4"/>
        <v>39</v>
      </c>
      <c r="K42" s="9">
        <f t="shared" si="5"/>
        <v>79</v>
      </c>
    </row>
    <row r="43" spans="1:11" ht="15.75" x14ac:dyDescent="0.25">
      <c r="A43" s="7" t="s">
        <v>101</v>
      </c>
      <c r="B43" s="12">
        <v>100</v>
      </c>
      <c r="C43" s="9">
        <f t="shared" si="0"/>
        <v>20</v>
      </c>
      <c r="D43" s="13">
        <v>73</v>
      </c>
      <c r="E43" s="9">
        <f t="shared" si="1"/>
        <v>14.6</v>
      </c>
      <c r="F43" s="9">
        <v>100</v>
      </c>
      <c r="G43" s="9">
        <f t="shared" si="2"/>
        <v>10</v>
      </c>
      <c r="H43" s="9">
        <f t="shared" si="3"/>
        <v>44.6</v>
      </c>
      <c r="I43" s="13">
        <v>88</v>
      </c>
      <c r="J43" s="9">
        <f t="shared" si="4"/>
        <v>44</v>
      </c>
      <c r="K43" s="9">
        <f t="shared" si="5"/>
        <v>88.6</v>
      </c>
    </row>
    <row r="44" spans="1:11" ht="15.75" x14ac:dyDescent="0.25">
      <c r="A44" s="7" t="s">
        <v>102</v>
      </c>
      <c r="B44" s="12">
        <v>80</v>
      </c>
      <c r="C44" s="9">
        <f t="shared" si="0"/>
        <v>16</v>
      </c>
      <c r="D44" s="13">
        <v>70</v>
      </c>
      <c r="E44" s="9">
        <f t="shared" si="1"/>
        <v>14</v>
      </c>
      <c r="F44" s="9">
        <v>100</v>
      </c>
      <c r="G44" s="9">
        <f t="shared" si="2"/>
        <v>10</v>
      </c>
      <c r="H44" s="9">
        <f t="shared" si="3"/>
        <v>40</v>
      </c>
      <c r="I44" s="13">
        <v>84</v>
      </c>
      <c r="J44" s="9">
        <f t="shared" si="4"/>
        <v>42</v>
      </c>
      <c r="K44" s="9">
        <f t="shared" si="5"/>
        <v>82</v>
      </c>
    </row>
    <row r="45" spans="1:11" ht="15.75" x14ac:dyDescent="0.25">
      <c r="A45" s="7" t="s">
        <v>103</v>
      </c>
      <c r="B45" s="12">
        <v>20</v>
      </c>
      <c r="C45" s="9">
        <f t="shared" si="0"/>
        <v>4</v>
      </c>
      <c r="D45" s="13">
        <v>42</v>
      </c>
      <c r="E45" s="9">
        <f t="shared" si="1"/>
        <v>8.4</v>
      </c>
      <c r="F45" s="9">
        <v>100</v>
      </c>
      <c r="G45" s="9">
        <f t="shared" si="2"/>
        <v>10</v>
      </c>
      <c r="H45" s="9">
        <f t="shared" si="3"/>
        <v>22.4</v>
      </c>
      <c r="I45" s="13">
        <v>76</v>
      </c>
      <c r="J45" s="9">
        <f t="shared" si="4"/>
        <v>38</v>
      </c>
      <c r="K45" s="9">
        <f t="shared" si="5"/>
        <v>60.4</v>
      </c>
    </row>
    <row r="46" spans="1:11" ht="15.75" x14ac:dyDescent="0.25">
      <c r="A46" s="7" t="s">
        <v>104</v>
      </c>
      <c r="B46" s="12">
        <v>40</v>
      </c>
      <c r="C46" s="9">
        <f t="shared" si="0"/>
        <v>8</v>
      </c>
      <c r="D46" s="13">
        <v>40</v>
      </c>
      <c r="E46" s="9">
        <f t="shared" si="1"/>
        <v>8</v>
      </c>
      <c r="F46" s="9">
        <v>100</v>
      </c>
      <c r="G46" s="9">
        <f t="shared" si="2"/>
        <v>10</v>
      </c>
      <c r="H46" s="9">
        <f t="shared" si="3"/>
        <v>26</v>
      </c>
      <c r="I46" s="13">
        <v>60</v>
      </c>
      <c r="J46" s="9">
        <f t="shared" si="4"/>
        <v>30</v>
      </c>
      <c r="K46" s="9">
        <f t="shared" si="5"/>
        <v>56</v>
      </c>
    </row>
    <row r="47" spans="1:11" ht="15.75" x14ac:dyDescent="0.25">
      <c r="A47" s="7" t="s">
        <v>105</v>
      </c>
      <c r="B47" s="12">
        <v>100</v>
      </c>
      <c r="C47" s="9">
        <f t="shared" si="0"/>
        <v>20</v>
      </c>
      <c r="D47" s="13">
        <v>58</v>
      </c>
      <c r="E47" s="9">
        <f t="shared" si="1"/>
        <v>11.6</v>
      </c>
      <c r="F47" s="9">
        <v>100</v>
      </c>
      <c r="G47" s="9">
        <f t="shared" si="2"/>
        <v>10</v>
      </c>
      <c r="H47" s="9">
        <f t="shared" si="3"/>
        <v>41.6</v>
      </c>
      <c r="I47" s="13">
        <v>80</v>
      </c>
      <c r="J47" s="9">
        <f t="shared" si="4"/>
        <v>40</v>
      </c>
      <c r="K47" s="9">
        <f t="shared" si="5"/>
        <v>81.599999999999994</v>
      </c>
    </row>
    <row r="48" spans="1:11" ht="15.75" x14ac:dyDescent="0.25">
      <c r="A48" s="7" t="s">
        <v>106</v>
      </c>
      <c r="B48" s="12">
        <v>80</v>
      </c>
      <c r="C48" s="9">
        <f t="shared" si="0"/>
        <v>16</v>
      </c>
      <c r="D48" s="13">
        <v>69</v>
      </c>
      <c r="E48" s="9">
        <f t="shared" si="1"/>
        <v>13.8</v>
      </c>
      <c r="F48" s="9">
        <v>100</v>
      </c>
      <c r="G48" s="9">
        <f t="shared" si="2"/>
        <v>10</v>
      </c>
      <c r="H48" s="9">
        <f t="shared" si="3"/>
        <v>39.799999999999997</v>
      </c>
      <c r="I48" s="13">
        <v>80</v>
      </c>
      <c r="J48" s="9">
        <f t="shared" si="4"/>
        <v>40</v>
      </c>
      <c r="K48" s="9">
        <f t="shared" si="5"/>
        <v>79.8</v>
      </c>
    </row>
    <row r="49" spans="1:11" ht="15.75" x14ac:dyDescent="0.25">
      <c r="A49" s="7" t="s">
        <v>107</v>
      </c>
      <c r="B49" s="12">
        <v>60</v>
      </c>
      <c r="C49" s="9">
        <f t="shared" si="0"/>
        <v>12</v>
      </c>
      <c r="D49" s="13">
        <v>78</v>
      </c>
      <c r="E49" s="9">
        <f t="shared" si="1"/>
        <v>15.6</v>
      </c>
      <c r="F49" s="9">
        <v>100</v>
      </c>
      <c r="G49" s="9">
        <f t="shared" si="2"/>
        <v>10</v>
      </c>
      <c r="H49" s="9">
        <f t="shared" si="3"/>
        <v>37.6</v>
      </c>
      <c r="I49" s="13">
        <v>78</v>
      </c>
      <c r="J49" s="9">
        <f t="shared" si="4"/>
        <v>39</v>
      </c>
      <c r="K49" s="9">
        <f t="shared" si="5"/>
        <v>76.599999999999994</v>
      </c>
    </row>
    <row r="50" spans="1:11" ht="15.75" x14ac:dyDescent="0.25">
      <c r="A50" s="7" t="s">
        <v>108</v>
      </c>
      <c r="B50" s="12">
        <v>100</v>
      </c>
      <c r="C50" s="9">
        <f t="shared" si="0"/>
        <v>20</v>
      </c>
      <c r="D50" s="13">
        <v>70</v>
      </c>
      <c r="E50" s="9">
        <f t="shared" si="1"/>
        <v>14</v>
      </c>
      <c r="F50" s="9">
        <v>100</v>
      </c>
      <c r="G50" s="9">
        <f t="shared" si="2"/>
        <v>10</v>
      </c>
      <c r="H50" s="9">
        <f t="shared" si="3"/>
        <v>44</v>
      </c>
      <c r="I50" s="13">
        <v>78</v>
      </c>
      <c r="J50" s="9">
        <f t="shared" si="4"/>
        <v>39</v>
      </c>
      <c r="K50" s="9">
        <f t="shared" si="5"/>
        <v>83</v>
      </c>
    </row>
    <row r="51" spans="1:11" ht="15.75" x14ac:dyDescent="0.25">
      <c r="A51" s="7" t="s">
        <v>109</v>
      </c>
      <c r="B51" s="12">
        <v>20</v>
      </c>
      <c r="C51" s="9">
        <f t="shared" si="0"/>
        <v>4</v>
      </c>
      <c r="D51" s="13">
        <v>25</v>
      </c>
      <c r="E51" s="9">
        <f t="shared" si="1"/>
        <v>5</v>
      </c>
      <c r="F51" s="9">
        <v>100</v>
      </c>
      <c r="G51" s="9">
        <f t="shared" si="2"/>
        <v>10</v>
      </c>
      <c r="H51" s="9">
        <f t="shared" si="3"/>
        <v>19</v>
      </c>
      <c r="I51" s="13">
        <v>68</v>
      </c>
      <c r="J51" s="9">
        <f t="shared" si="4"/>
        <v>34</v>
      </c>
      <c r="K51" s="9">
        <f t="shared" si="5"/>
        <v>53</v>
      </c>
    </row>
    <row r="52" spans="1:11" ht="15.75" x14ac:dyDescent="0.25">
      <c r="A52" s="7" t="s">
        <v>110</v>
      </c>
      <c r="B52" s="12">
        <v>70</v>
      </c>
      <c r="C52" s="9">
        <f t="shared" si="0"/>
        <v>14</v>
      </c>
      <c r="D52" s="13">
        <v>63</v>
      </c>
      <c r="E52" s="9">
        <f t="shared" si="1"/>
        <v>12.6</v>
      </c>
      <c r="F52" s="9">
        <v>100</v>
      </c>
      <c r="G52" s="9">
        <f t="shared" si="2"/>
        <v>10</v>
      </c>
      <c r="H52" s="9">
        <f t="shared" si="3"/>
        <v>36.6</v>
      </c>
      <c r="I52" s="13">
        <v>74</v>
      </c>
      <c r="J52" s="9">
        <f t="shared" si="4"/>
        <v>37</v>
      </c>
      <c r="K52" s="9">
        <f t="shared" si="5"/>
        <v>73.599999999999994</v>
      </c>
    </row>
    <row r="53" spans="1:11" ht="15.75" x14ac:dyDescent="0.25">
      <c r="A53" s="7" t="s">
        <v>111</v>
      </c>
      <c r="B53" s="12">
        <v>100</v>
      </c>
      <c r="C53" s="9">
        <f t="shared" si="0"/>
        <v>20</v>
      </c>
      <c r="D53" s="13">
        <v>82</v>
      </c>
      <c r="E53" s="9">
        <f t="shared" si="1"/>
        <v>16.399999999999999</v>
      </c>
      <c r="F53" s="9">
        <v>100</v>
      </c>
      <c r="G53" s="9">
        <f t="shared" si="2"/>
        <v>10</v>
      </c>
      <c r="H53" s="9">
        <f t="shared" si="3"/>
        <v>46.4</v>
      </c>
      <c r="I53" s="13">
        <v>76</v>
      </c>
      <c r="J53" s="9">
        <f t="shared" si="4"/>
        <v>38</v>
      </c>
      <c r="K53" s="9">
        <f t="shared" si="5"/>
        <v>84.4</v>
      </c>
    </row>
    <row r="54" spans="1:11" ht="15.75" x14ac:dyDescent="0.25">
      <c r="A54" s="7" t="s">
        <v>112</v>
      </c>
      <c r="B54" s="12">
        <v>40</v>
      </c>
      <c r="C54" s="9">
        <f t="shared" si="0"/>
        <v>8</v>
      </c>
      <c r="D54" s="13">
        <v>65</v>
      </c>
      <c r="E54" s="9">
        <f t="shared" si="1"/>
        <v>13</v>
      </c>
      <c r="F54" s="9">
        <v>100</v>
      </c>
      <c r="G54" s="9">
        <f t="shared" si="2"/>
        <v>10</v>
      </c>
      <c r="H54" s="9">
        <f t="shared" si="3"/>
        <v>31</v>
      </c>
      <c r="I54" s="13">
        <v>93</v>
      </c>
      <c r="J54" s="9">
        <f t="shared" si="4"/>
        <v>46.5</v>
      </c>
      <c r="K54" s="9">
        <f t="shared" si="5"/>
        <v>77.5</v>
      </c>
    </row>
    <row r="55" spans="1:11" ht="15.75" x14ac:dyDescent="0.25">
      <c r="A55" s="7" t="s">
        <v>113</v>
      </c>
      <c r="B55" s="12">
        <v>100</v>
      </c>
      <c r="C55" s="9">
        <f t="shared" si="0"/>
        <v>20</v>
      </c>
      <c r="D55" s="13">
        <v>97</v>
      </c>
      <c r="E55" s="9">
        <f t="shared" si="1"/>
        <v>19.399999999999999</v>
      </c>
      <c r="F55" s="9">
        <v>100</v>
      </c>
      <c r="G55" s="9">
        <f t="shared" si="2"/>
        <v>10</v>
      </c>
      <c r="H55" s="9">
        <f t="shared" si="3"/>
        <v>49.4</v>
      </c>
      <c r="I55" s="13">
        <v>97</v>
      </c>
      <c r="J55" s="9">
        <f t="shared" si="4"/>
        <v>48.5</v>
      </c>
      <c r="K55" s="9">
        <f t="shared" si="5"/>
        <v>97.9</v>
      </c>
    </row>
    <row r="56" spans="1:11" ht="15.75" x14ac:dyDescent="0.25">
      <c r="A56" s="7" t="s">
        <v>114</v>
      </c>
      <c r="B56" s="12">
        <v>80</v>
      </c>
      <c r="C56" s="9">
        <f t="shared" si="0"/>
        <v>16</v>
      </c>
      <c r="D56" s="13">
        <v>94</v>
      </c>
      <c r="E56" s="9">
        <f t="shared" si="1"/>
        <v>18.8</v>
      </c>
      <c r="F56" s="9">
        <v>100</v>
      </c>
      <c r="G56" s="9">
        <f t="shared" si="2"/>
        <v>10</v>
      </c>
      <c r="H56" s="9">
        <f t="shared" si="3"/>
        <v>44.8</v>
      </c>
      <c r="I56" s="13">
        <v>94</v>
      </c>
      <c r="J56" s="9">
        <f t="shared" si="4"/>
        <v>47</v>
      </c>
      <c r="K56" s="9">
        <f t="shared" si="5"/>
        <v>91.8</v>
      </c>
    </row>
    <row r="57" spans="1:11" ht="15.75" x14ac:dyDescent="0.25">
      <c r="A57" s="7" t="s">
        <v>115</v>
      </c>
      <c r="B57" s="12">
        <v>30</v>
      </c>
      <c r="C57" s="9">
        <f t="shared" si="0"/>
        <v>6</v>
      </c>
      <c r="D57" s="13">
        <v>83</v>
      </c>
      <c r="E57" s="9">
        <f t="shared" si="1"/>
        <v>16.600000000000001</v>
      </c>
      <c r="F57" s="9">
        <v>100</v>
      </c>
      <c r="G57" s="9">
        <f t="shared" si="2"/>
        <v>10</v>
      </c>
      <c r="H57" s="9">
        <f t="shared" si="3"/>
        <v>32.6</v>
      </c>
      <c r="I57" s="13">
        <v>93</v>
      </c>
      <c r="J57" s="9">
        <f t="shared" si="4"/>
        <v>46.5</v>
      </c>
      <c r="K57" s="9">
        <f t="shared" si="5"/>
        <v>79.099999999999994</v>
      </c>
    </row>
    <row r="58" spans="1:11" ht="15.75" x14ac:dyDescent="0.25">
      <c r="A58" s="7" t="s">
        <v>116</v>
      </c>
      <c r="B58" s="12">
        <v>70</v>
      </c>
      <c r="C58" s="9">
        <f t="shared" si="0"/>
        <v>14</v>
      </c>
      <c r="D58" s="13">
        <v>97</v>
      </c>
      <c r="E58" s="9">
        <f t="shared" si="1"/>
        <v>19.399999999999999</v>
      </c>
      <c r="F58" s="9">
        <v>100</v>
      </c>
      <c r="G58" s="9">
        <f t="shared" si="2"/>
        <v>10</v>
      </c>
      <c r="H58" s="9">
        <f t="shared" si="3"/>
        <v>43.4</v>
      </c>
      <c r="I58" s="13">
        <v>94</v>
      </c>
      <c r="J58" s="9">
        <f t="shared" si="4"/>
        <v>47</v>
      </c>
      <c r="K58" s="9">
        <f t="shared" si="5"/>
        <v>90.4</v>
      </c>
    </row>
    <row r="59" spans="1:11" ht="15.75" x14ac:dyDescent="0.25">
      <c r="A59" s="7" t="s">
        <v>117</v>
      </c>
      <c r="B59" s="12">
        <v>50</v>
      </c>
      <c r="C59" s="9">
        <f t="shared" si="0"/>
        <v>10</v>
      </c>
      <c r="D59" s="13">
        <v>62</v>
      </c>
      <c r="E59" s="9">
        <f t="shared" si="1"/>
        <v>12.4</v>
      </c>
      <c r="F59" s="9">
        <v>100</v>
      </c>
      <c r="G59" s="9">
        <f t="shared" si="2"/>
        <v>10</v>
      </c>
      <c r="H59" s="9">
        <f t="shared" si="3"/>
        <v>32.4</v>
      </c>
      <c r="I59" s="13">
        <v>60</v>
      </c>
      <c r="J59" s="9">
        <f t="shared" si="4"/>
        <v>30</v>
      </c>
      <c r="K59" s="9">
        <f t="shared" si="5"/>
        <v>62.4</v>
      </c>
    </row>
    <row r="60" spans="1:11" ht="15.75" x14ac:dyDescent="0.25">
      <c r="A60" s="7" t="s">
        <v>118</v>
      </c>
      <c r="B60" s="12">
        <v>70</v>
      </c>
      <c r="C60" s="9">
        <f t="shared" si="0"/>
        <v>14</v>
      </c>
      <c r="D60" s="13">
        <v>75</v>
      </c>
      <c r="E60" s="9">
        <f t="shared" si="1"/>
        <v>15</v>
      </c>
      <c r="F60" s="9">
        <v>100</v>
      </c>
      <c r="G60" s="9">
        <f t="shared" si="2"/>
        <v>10</v>
      </c>
      <c r="H60" s="9">
        <f t="shared" si="3"/>
        <v>39</v>
      </c>
      <c r="I60" s="13">
        <v>94</v>
      </c>
      <c r="J60" s="9">
        <f t="shared" si="4"/>
        <v>47</v>
      </c>
      <c r="K60" s="9">
        <f t="shared" si="5"/>
        <v>86</v>
      </c>
    </row>
    <row r="61" spans="1:11" ht="15.75" x14ac:dyDescent="0.25">
      <c r="A61" s="7" t="s">
        <v>119</v>
      </c>
      <c r="B61" s="12">
        <v>60</v>
      </c>
      <c r="C61" s="9">
        <f t="shared" si="0"/>
        <v>12</v>
      </c>
      <c r="D61" s="13">
        <v>77</v>
      </c>
      <c r="E61" s="9">
        <f t="shared" si="1"/>
        <v>15.4</v>
      </c>
      <c r="F61" s="9">
        <v>100</v>
      </c>
      <c r="G61" s="9">
        <f t="shared" si="2"/>
        <v>10</v>
      </c>
      <c r="H61" s="9">
        <f t="shared" si="3"/>
        <v>37.4</v>
      </c>
      <c r="I61" s="13">
        <v>91</v>
      </c>
      <c r="J61" s="9">
        <f t="shared" si="4"/>
        <v>45.5</v>
      </c>
      <c r="K61" s="9">
        <f t="shared" si="5"/>
        <v>82.9</v>
      </c>
    </row>
    <row r="62" spans="1:11" ht="15.75" x14ac:dyDescent="0.25">
      <c r="A62" s="7" t="s">
        <v>120</v>
      </c>
      <c r="B62" s="12">
        <v>70</v>
      </c>
      <c r="C62" s="9">
        <f t="shared" si="0"/>
        <v>14</v>
      </c>
      <c r="D62" s="13">
        <v>85</v>
      </c>
      <c r="E62" s="9">
        <f t="shared" si="1"/>
        <v>17</v>
      </c>
      <c r="F62" s="9">
        <v>100</v>
      </c>
      <c r="G62" s="9">
        <f t="shared" si="2"/>
        <v>10</v>
      </c>
      <c r="H62" s="9">
        <f t="shared" si="3"/>
        <v>41</v>
      </c>
      <c r="I62" s="13">
        <v>94</v>
      </c>
      <c r="J62" s="9">
        <f t="shared" si="4"/>
        <v>47</v>
      </c>
      <c r="K62" s="9">
        <f t="shared" si="5"/>
        <v>88</v>
      </c>
    </row>
    <row r="63" spans="1:11" ht="15.75" x14ac:dyDescent="0.25">
      <c r="A63" s="7" t="s">
        <v>121</v>
      </c>
      <c r="B63" s="12">
        <v>30</v>
      </c>
      <c r="C63" s="9">
        <f t="shared" si="0"/>
        <v>6</v>
      </c>
      <c r="D63" s="13">
        <v>85</v>
      </c>
      <c r="E63" s="9">
        <f t="shared" si="1"/>
        <v>17</v>
      </c>
      <c r="F63" s="9">
        <v>100</v>
      </c>
      <c r="G63" s="9">
        <f t="shared" si="2"/>
        <v>10</v>
      </c>
      <c r="H63" s="9">
        <f t="shared" si="3"/>
        <v>33</v>
      </c>
      <c r="I63" s="13">
        <v>74</v>
      </c>
      <c r="J63" s="9">
        <f t="shared" si="4"/>
        <v>37</v>
      </c>
      <c r="K63" s="9">
        <f t="shared" si="5"/>
        <v>70</v>
      </c>
    </row>
    <row r="64" spans="1:11" ht="15.75" x14ac:dyDescent="0.25">
      <c r="A64" s="7" t="s">
        <v>122</v>
      </c>
      <c r="B64" s="12">
        <v>50</v>
      </c>
      <c r="C64" s="9">
        <f t="shared" si="0"/>
        <v>10</v>
      </c>
      <c r="D64" s="13">
        <v>88</v>
      </c>
      <c r="E64" s="9">
        <f t="shared" si="1"/>
        <v>17.600000000000001</v>
      </c>
      <c r="F64" s="9">
        <v>100</v>
      </c>
      <c r="G64" s="9">
        <f t="shared" si="2"/>
        <v>10</v>
      </c>
      <c r="H64" s="9">
        <f t="shared" si="3"/>
        <v>37.6</v>
      </c>
      <c r="I64" s="13">
        <v>72</v>
      </c>
      <c r="J64" s="9">
        <f t="shared" si="4"/>
        <v>36</v>
      </c>
      <c r="K64" s="9">
        <f t="shared" si="5"/>
        <v>73.599999999999994</v>
      </c>
    </row>
    <row r="65" spans="1:11" ht="15.75" x14ac:dyDescent="0.25">
      <c r="A65" s="7" t="s">
        <v>123</v>
      </c>
      <c r="B65" s="12">
        <v>40</v>
      </c>
      <c r="C65" s="9">
        <f t="shared" si="0"/>
        <v>8</v>
      </c>
      <c r="D65" s="13">
        <v>70</v>
      </c>
      <c r="E65" s="9">
        <f t="shared" si="1"/>
        <v>14</v>
      </c>
      <c r="F65" s="9">
        <v>100</v>
      </c>
      <c r="G65" s="9">
        <f t="shared" si="2"/>
        <v>10</v>
      </c>
      <c r="H65" s="9">
        <f t="shared" si="3"/>
        <v>32</v>
      </c>
      <c r="I65" s="13">
        <v>83</v>
      </c>
      <c r="J65" s="9">
        <f t="shared" si="4"/>
        <v>41.5</v>
      </c>
      <c r="K65" s="9">
        <f t="shared" si="5"/>
        <v>73.5</v>
      </c>
    </row>
    <row r="66" spans="1:11" ht="15.75" x14ac:dyDescent="0.25">
      <c r="A66" s="7" t="s">
        <v>124</v>
      </c>
      <c r="B66" s="12">
        <v>90</v>
      </c>
      <c r="C66" s="9">
        <f t="shared" si="0"/>
        <v>18</v>
      </c>
      <c r="D66" s="13">
        <v>75</v>
      </c>
      <c r="E66" s="9">
        <f t="shared" si="1"/>
        <v>15</v>
      </c>
      <c r="F66" s="9">
        <v>100</v>
      </c>
      <c r="G66" s="9">
        <f t="shared" si="2"/>
        <v>10</v>
      </c>
      <c r="H66" s="9">
        <f t="shared" si="3"/>
        <v>43</v>
      </c>
      <c r="I66" s="13">
        <v>91</v>
      </c>
      <c r="J66" s="9">
        <f t="shared" si="4"/>
        <v>45.5</v>
      </c>
      <c r="K66" s="9">
        <f t="shared" si="5"/>
        <v>88.5</v>
      </c>
    </row>
    <row r="67" spans="1:11" ht="15.75" x14ac:dyDescent="0.25">
      <c r="A67" s="7" t="s">
        <v>125</v>
      </c>
      <c r="B67" s="12">
        <v>60</v>
      </c>
      <c r="C67" s="9">
        <f t="shared" si="0"/>
        <v>12</v>
      </c>
      <c r="D67" s="13">
        <v>77</v>
      </c>
      <c r="E67" s="9">
        <f t="shared" si="1"/>
        <v>15.4</v>
      </c>
      <c r="F67" s="9">
        <v>100</v>
      </c>
      <c r="G67" s="9">
        <f t="shared" si="2"/>
        <v>10</v>
      </c>
      <c r="H67" s="9">
        <f t="shared" si="3"/>
        <v>37.4</v>
      </c>
      <c r="I67" s="13">
        <v>91</v>
      </c>
      <c r="J67" s="9">
        <f t="shared" si="4"/>
        <v>45.5</v>
      </c>
      <c r="K67" s="9">
        <f t="shared" si="5"/>
        <v>82.9</v>
      </c>
    </row>
    <row r="68" spans="1:11" ht="15.75" x14ac:dyDescent="0.25">
      <c r="A68" s="7" t="s">
        <v>126</v>
      </c>
      <c r="B68" s="12">
        <v>60</v>
      </c>
      <c r="C68" s="9">
        <f t="shared" ref="C68:C79" si="6">(B68/5)</f>
        <v>12</v>
      </c>
      <c r="D68" s="13">
        <v>83</v>
      </c>
      <c r="E68" s="9">
        <f t="shared" ref="E68:E79" si="7">(D68/5)</f>
        <v>16.600000000000001</v>
      </c>
      <c r="F68" s="9">
        <v>100</v>
      </c>
      <c r="G68" s="9">
        <f t="shared" ref="G68:G79" si="8">(F68/10)</f>
        <v>10</v>
      </c>
      <c r="H68" s="9">
        <f t="shared" ref="H68:H79" si="9">SUM(C68,E68,G68)</f>
        <v>38.6</v>
      </c>
      <c r="I68" s="13">
        <v>94</v>
      </c>
      <c r="J68" s="9">
        <f t="shared" ref="J68:J79" si="10">(I68/2)</f>
        <v>47</v>
      </c>
      <c r="K68" s="9">
        <f t="shared" ref="K68:K79" si="11">SUM(H68,J68)</f>
        <v>85.6</v>
      </c>
    </row>
    <row r="69" spans="1:11" ht="15.75" x14ac:dyDescent="0.25">
      <c r="A69" s="7" t="s">
        <v>127</v>
      </c>
      <c r="B69" s="12">
        <v>80</v>
      </c>
      <c r="C69" s="9">
        <f t="shared" si="6"/>
        <v>16</v>
      </c>
      <c r="D69" s="13">
        <v>86</v>
      </c>
      <c r="E69" s="9">
        <f t="shared" si="7"/>
        <v>17.2</v>
      </c>
      <c r="F69" s="9">
        <v>100</v>
      </c>
      <c r="G69" s="9">
        <f t="shared" si="8"/>
        <v>10</v>
      </c>
      <c r="H69" s="9">
        <f t="shared" si="9"/>
        <v>43.2</v>
      </c>
      <c r="I69" s="13">
        <v>97</v>
      </c>
      <c r="J69" s="9">
        <f t="shared" si="10"/>
        <v>48.5</v>
      </c>
      <c r="K69" s="9">
        <f t="shared" si="11"/>
        <v>91.7</v>
      </c>
    </row>
    <row r="70" spans="1:11" ht="15.75" x14ac:dyDescent="0.25">
      <c r="A70" s="7" t="s">
        <v>128</v>
      </c>
      <c r="B70" s="12">
        <v>60</v>
      </c>
      <c r="C70" s="9">
        <f t="shared" si="6"/>
        <v>12</v>
      </c>
      <c r="D70" s="13">
        <v>91</v>
      </c>
      <c r="E70" s="9">
        <f t="shared" si="7"/>
        <v>18.2</v>
      </c>
      <c r="F70" s="9">
        <v>100</v>
      </c>
      <c r="G70" s="9">
        <f t="shared" si="8"/>
        <v>10</v>
      </c>
      <c r="H70" s="9">
        <f t="shared" si="9"/>
        <v>40.200000000000003</v>
      </c>
      <c r="I70" s="13">
        <v>81</v>
      </c>
      <c r="J70" s="9">
        <f t="shared" si="10"/>
        <v>40.5</v>
      </c>
      <c r="K70" s="9">
        <f t="shared" si="11"/>
        <v>80.7</v>
      </c>
    </row>
    <row r="71" spans="1:11" ht="15.75" x14ac:dyDescent="0.25">
      <c r="A71" s="7" t="s">
        <v>129</v>
      </c>
      <c r="B71" s="12">
        <v>30</v>
      </c>
      <c r="C71" s="9">
        <f t="shared" si="6"/>
        <v>6</v>
      </c>
      <c r="D71" s="13">
        <v>67</v>
      </c>
      <c r="E71" s="9">
        <f t="shared" si="7"/>
        <v>13.4</v>
      </c>
      <c r="F71" s="9">
        <v>100</v>
      </c>
      <c r="G71" s="9">
        <f t="shared" si="8"/>
        <v>10</v>
      </c>
      <c r="H71" s="9">
        <f t="shared" si="9"/>
        <v>29.4</v>
      </c>
      <c r="I71" s="13">
        <v>77</v>
      </c>
      <c r="J71" s="9">
        <f t="shared" si="10"/>
        <v>38.5</v>
      </c>
      <c r="K71" s="9">
        <f t="shared" si="11"/>
        <v>67.900000000000006</v>
      </c>
    </row>
    <row r="72" spans="1:11" ht="15.75" x14ac:dyDescent="0.25">
      <c r="A72" s="7" t="s">
        <v>130</v>
      </c>
      <c r="B72" s="12">
        <v>40</v>
      </c>
      <c r="C72" s="9">
        <f t="shared" si="6"/>
        <v>8</v>
      </c>
      <c r="D72" s="13">
        <v>76</v>
      </c>
      <c r="E72" s="9">
        <f t="shared" si="7"/>
        <v>15.2</v>
      </c>
      <c r="F72" s="9">
        <v>100</v>
      </c>
      <c r="G72" s="9">
        <f t="shared" si="8"/>
        <v>10</v>
      </c>
      <c r="H72" s="9">
        <f t="shared" si="9"/>
        <v>33.200000000000003</v>
      </c>
      <c r="I72" s="13">
        <v>94</v>
      </c>
      <c r="J72" s="9">
        <f t="shared" si="10"/>
        <v>47</v>
      </c>
      <c r="K72" s="9">
        <f t="shared" si="11"/>
        <v>80.2</v>
      </c>
    </row>
    <row r="73" spans="1:11" ht="15.75" x14ac:dyDescent="0.25">
      <c r="A73" s="7" t="s">
        <v>131</v>
      </c>
      <c r="B73" s="12">
        <v>50</v>
      </c>
      <c r="C73" s="9">
        <f t="shared" si="6"/>
        <v>10</v>
      </c>
      <c r="D73" s="13">
        <v>57</v>
      </c>
      <c r="E73" s="9">
        <f t="shared" si="7"/>
        <v>11.4</v>
      </c>
      <c r="F73" s="9">
        <v>100</v>
      </c>
      <c r="G73" s="9">
        <f t="shared" si="8"/>
        <v>10</v>
      </c>
      <c r="H73" s="9">
        <f t="shared" si="9"/>
        <v>31.4</v>
      </c>
      <c r="I73" s="13">
        <v>83</v>
      </c>
      <c r="J73" s="9">
        <f t="shared" si="10"/>
        <v>41.5</v>
      </c>
      <c r="K73" s="9">
        <f t="shared" si="11"/>
        <v>72.900000000000006</v>
      </c>
    </row>
    <row r="74" spans="1:11" ht="15.75" x14ac:dyDescent="0.25">
      <c r="A74" s="7" t="s">
        <v>132</v>
      </c>
      <c r="B74" s="12">
        <v>80</v>
      </c>
      <c r="C74" s="9">
        <f t="shared" si="6"/>
        <v>16</v>
      </c>
      <c r="D74" s="13">
        <v>97</v>
      </c>
      <c r="E74" s="9">
        <f t="shared" si="7"/>
        <v>19.399999999999999</v>
      </c>
      <c r="F74" s="9">
        <v>100</v>
      </c>
      <c r="G74" s="9">
        <f t="shared" si="8"/>
        <v>10</v>
      </c>
      <c r="H74" s="9">
        <f t="shared" si="9"/>
        <v>45.4</v>
      </c>
      <c r="I74" s="13">
        <v>86</v>
      </c>
      <c r="J74" s="9">
        <f t="shared" si="10"/>
        <v>43</v>
      </c>
      <c r="K74" s="9">
        <f t="shared" si="11"/>
        <v>88.4</v>
      </c>
    </row>
    <row r="75" spans="1:11" ht="15.75" x14ac:dyDescent="0.25">
      <c r="A75" s="7" t="s">
        <v>133</v>
      </c>
      <c r="B75" s="12">
        <v>80</v>
      </c>
      <c r="C75" s="9">
        <f t="shared" si="6"/>
        <v>16</v>
      </c>
      <c r="D75" s="13">
        <v>80</v>
      </c>
      <c r="E75" s="9">
        <f t="shared" si="7"/>
        <v>16</v>
      </c>
      <c r="F75" s="9">
        <v>100</v>
      </c>
      <c r="G75" s="9">
        <f t="shared" si="8"/>
        <v>10</v>
      </c>
      <c r="H75" s="9">
        <f t="shared" si="9"/>
        <v>42</v>
      </c>
      <c r="I75" s="13">
        <v>94</v>
      </c>
      <c r="J75" s="9">
        <f t="shared" si="10"/>
        <v>47</v>
      </c>
      <c r="K75" s="9">
        <f t="shared" si="11"/>
        <v>89</v>
      </c>
    </row>
    <row r="76" spans="1:11" ht="15.75" x14ac:dyDescent="0.25">
      <c r="A76" s="7" t="s">
        <v>134</v>
      </c>
      <c r="B76" s="12">
        <v>70</v>
      </c>
      <c r="C76" s="9">
        <f t="shared" si="6"/>
        <v>14</v>
      </c>
      <c r="D76" s="13">
        <v>97</v>
      </c>
      <c r="E76" s="9">
        <f t="shared" si="7"/>
        <v>19.399999999999999</v>
      </c>
      <c r="F76" s="9">
        <v>100</v>
      </c>
      <c r="G76" s="9">
        <f t="shared" si="8"/>
        <v>10</v>
      </c>
      <c r="H76" s="9">
        <f t="shared" si="9"/>
        <v>43.4</v>
      </c>
      <c r="I76" s="13">
        <v>97</v>
      </c>
      <c r="J76" s="9">
        <f t="shared" si="10"/>
        <v>48.5</v>
      </c>
      <c r="K76" s="9">
        <f t="shared" si="11"/>
        <v>91.9</v>
      </c>
    </row>
    <row r="77" spans="1:11" ht="15.75" x14ac:dyDescent="0.25">
      <c r="A77" s="7" t="s">
        <v>135</v>
      </c>
      <c r="B77" s="12">
        <v>100</v>
      </c>
      <c r="C77" s="9">
        <f t="shared" si="6"/>
        <v>20</v>
      </c>
      <c r="D77" s="13">
        <v>93</v>
      </c>
      <c r="E77" s="9">
        <f t="shared" si="7"/>
        <v>18.600000000000001</v>
      </c>
      <c r="F77" s="9">
        <v>100</v>
      </c>
      <c r="G77" s="9">
        <f t="shared" si="8"/>
        <v>10</v>
      </c>
      <c r="H77" s="9">
        <f t="shared" si="9"/>
        <v>48.6</v>
      </c>
      <c r="I77" s="13">
        <v>91</v>
      </c>
      <c r="J77" s="9">
        <f t="shared" si="10"/>
        <v>45.5</v>
      </c>
      <c r="K77" s="9">
        <f t="shared" si="11"/>
        <v>94.1</v>
      </c>
    </row>
    <row r="78" spans="1:11" ht="15.75" x14ac:dyDescent="0.25">
      <c r="A78" s="7" t="s">
        <v>136</v>
      </c>
      <c r="B78" s="12">
        <v>40</v>
      </c>
      <c r="C78" s="9">
        <f t="shared" si="6"/>
        <v>8</v>
      </c>
      <c r="D78" s="13">
        <v>53</v>
      </c>
      <c r="E78" s="9">
        <f t="shared" si="7"/>
        <v>10.6</v>
      </c>
      <c r="F78" s="9">
        <v>100</v>
      </c>
      <c r="G78" s="9">
        <f t="shared" si="8"/>
        <v>10</v>
      </c>
      <c r="H78" s="9">
        <f t="shared" si="9"/>
        <v>28.6</v>
      </c>
      <c r="I78" s="13">
        <v>72</v>
      </c>
      <c r="J78" s="9">
        <f t="shared" si="10"/>
        <v>36</v>
      </c>
      <c r="K78" s="9">
        <f t="shared" si="11"/>
        <v>64.599999999999994</v>
      </c>
    </row>
    <row r="79" spans="1:11" ht="15.75" x14ac:dyDescent="0.25">
      <c r="A79" s="8" t="s">
        <v>137</v>
      </c>
      <c r="B79" s="12">
        <v>70</v>
      </c>
      <c r="C79" s="14">
        <f t="shared" si="6"/>
        <v>14</v>
      </c>
      <c r="D79" s="13">
        <v>97</v>
      </c>
      <c r="E79" s="14">
        <f t="shared" si="7"/>
        <v>19.399999999999999</v>
      </c>
      <c r="F79" s="14">
        <v>100</v>
      </c>
      <c r="G79" s="14">
        <f t="shared" si="8"/>
        <v>10</v>
      </c>
      <c r="H79" s="14">
        <f t="shared" si="9"/>
        <v>43.4</v>
      </c>
      <c r="I79" s="13">
        <v>97</v>
      </c>
      <c r="J79" s="14">
        <f t="shared" si="10"/>
        <v>48.5</v>
      </c>
      <c r="K79" s="14">
        <f t="shared" si="11"/>
        <v>91.9</v>
      </c>
    </row>
    <row r="80" spans="1:11" ht="15.75" x14ac:dyDescent="0.25">
      <c r="A80" s="43">
        <f>SUBTOTAL(103,Table15[LEARNER''S NAME])</f>
        <v>78</v>
      </c>
      <c r="B80" s="44"/>
      <c r="C80" s="45"/>
      <c r="D80" s="46"/>
      <c r="E80" s="45"/>
      <c r="F80" s="45"/>
      <c r="G80" s="45"/>
      <c r="H80" s="45"/>
      <c r="I80" s="46"/>
      <c r="J80" s="45"/>
      <c r="K80" s="45">
        <f>SUBTOTAL(109,Table15[(50+50)%])</f>
        <v>6200.3999999999978</v>
      </c>
    </row>
  </sheetData>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DE58-EBD0-4154-BEAB-97B911714B28}">
  <sheetPr codeName="Sheet19"/>
  <dimension ref="A2:P80"/>
  <sheetViews>
    <sheetView workbookViewId="0">
      <selection activeCell="E3" sqref="E3"/>
    </sheetView>
  </sheetViews>
  <sheetFormatPr defaultRowHeight="15" x14ac:dyDescent="0.25"/>
  <cols>
    <col min="1" max="1" width="29.7109375" style="4" bestFit="1" customWidth="1"/>
    <col min="2" max="2" width="12.42578125" customWidth="1"/>
    <col min="3" max="3" width="12.85546875" customWidth="1"/>
    <col min="4" max="4" width="13" customWidth="1"/>
    <col min="5" max="5" width="14" bestFit="1" customWidth="1"/>
    <col min="9" max="9" width="9.28515625" customWidth="1"/>
  </cols>
  <sheetData>
    <row r="2" spans="1:16" x14ac:dyDescent="0.25">
      <c r="A2" s="4" t="s">
        <v>83</v>
      </c>
      <c r="B2" s="3" t="s">
        <v>54</v>
      </c>
      <c r="C2" s="2" t="s">
        <v>76</v>
      </c>
      <c r="D2" s="3" t="s">
        <v>77</v>
      </c>
      <c r="E2" s="2" t="s">
        <v>78</v>
      </c>
      <c r="F2" s="3" t="s">
        <v>79</v>
      </c>
      <c r="G2" s="2" t="s">
        <v>80</v>
      </c>
      <c r="H2" s="2" t="s">
        <v>52</v>
      </c>
      <c r="I2" s="3" t="s">
        <v>81</v>
      </c>
      <c r="J2" s="2" t="s">
        <v>82</v>
      </c>
      <c r="K2" s="2" t="s">
        <v>5</v>
      </c>
      <c r="M2" t="s">
        <v>84</v>
      </c>
      <c r="N2" t="s">
        <v>36</v>
      </c>
      <c r="O2" t="s">
        <v>37</v>
      </c>
      <c r="P2" t="s">
        <v>38</v>
      </c>
    </row>
    <row r="3" spans="1:16" x14ac:dyDescent="0.25">
      <c r="A3" s="4" t="s">
        <v>20</v>
      </c>
      <c r="B3" s="2">
        <v>40</v>
      </c>
      <c r="C3" s="2">
        <f>B3/5</f>
        <v>8</v>
      </c>
      <c r="D3" s="2">
        <v>77</v>
      </c>
      <c r="E3" s="2">
        <f>D3/5</f>
        <v>15.4</v>
      </c>
      <c r="F3" s="2">
        <v>100</v>
      </c>
      <c r="G3" s="2">
        <v>10</v>
      </c>
      <c r="H3" s="2">
        <f>C3+E3+G3</f>
        <v>33.4</v>
      </c>
      <c r="I3" s="2">
        <v>99</v>
      </c>
      <c r="J3" s="2">
        <f>I3/2</f>
        <v>49.5</v>
      </c>
      <c r="K3" s="2">
        <f>J3+H3</f>
        <v>82.9</v>
      </c>
      <c r="M3" t="s">
        <v>33</v>
      </c>
      <c r="N3">
        <f>AVERAGE(B3:B80)</f>
        <v>66.769230769230774</v>
      </c>
      <c r="O3">
        <f>AVERAGE(D3:D80)</f>
        <v>79.15384615384616</v>
      </c>
      <c r="P3">
        <f>AVERAGE(I3:I80)</f>
        <v>89.65384615384616</v>
      </c>
    </row>
    <row r="4" spans="1:16" x14ac:dyDescent="0.25">
      <c r="A4" s="4" t="s">
        <v>18</v>
      </c>
      <c r="B4" s="2">
        <v>40</v>
      </c>
      <c r="C4" s="2">
        <f t="shared" ref="C4:C67" si="0">B4/5</f>
        <v>8</v>
      </c>
      <c r="D4" s="2">
        <v>67</v>
      </c>
      <c r="E4" s="2">
        <f t="shared" ref="E4:E67" si="1">D4/5</f>
        <v>13.4</v>
      </c>
      <c r="F4" s="2">
        <v>100</v>
      </c>
      <c r="G4" s="2">
        <v>10</v>
      </c>
      <c r="H4" s="2">
        <f t="shared" ref="H4:H67" si="2">C4+E4+G4</f>
        <v>31.4</v>
      </c>
      <c r="I4" s="2">
        <v>74</v>
      </c>
      <c r="J4" s="2">
        <f t="shared" ref="J4:J67" si="3">I4/2</f>
        <v>37</v>
      </c>
      <c r="K4" s="2">
        <f t="shared" ref="K4:K67" si="4">J4+H4</f>
        <v>68.400000000000006</v>
      </c>
      <c r="M4" t="s">
        <v>34</v>
      </c>
      <c r="N4">
        <f>MAX(B3:B80)</f>
        <v>100</v>
      </c>
      <c r="O4">
        <f>MAX(D3:D80)</f>
        <v>99</v>
      </c>
      <c r="P4">
        <f>MAX(I3:I80)</f>
        <v>100</v>
      </c>
    </row>
    <row r="5" spans="1:16" x14ac:dyDescent="0.25">
      <c r="A5" s="4" t="s">
        <v>60</v>
      </c>
      <c r="B5" s="2">
        <v>50</v>
      </c>
      <c r="C5" s="2">
        <f t="shared" si="0"/>
        <v>10</v>
      </c>
      <c r="D5" s="2">
        <v>63</v>
      </c>
      <c r="E5" s="2">
        <f t="shared" si="1"/>
        <v>12.6</v>
      </c>
      <c r="F5" s="2">
        <v>100</v>
      </c>
      <c r="G5" s="2">
        <v>10</v>
      </c>
      <c r="H5" s="2">
        <f t="shared" si="2"/>
        <v>32.6</v>
      </c>
      <c r="I5" s="2">
        <v>91</v>
      </c>
      <c r="J5" s="2">
        <f t="shared" si="3"/>
        <v>45.5</v>
      </c>
      <c r="K5" s="2">
        <f t="shared" si="4"/>
        <v>78.099999999999994</v>
      </c>
      <c r="M5" t="s">
        <v>35</v>
      </c>
      <c r="N5">
        <f>MIN(B3:B80)</f>
        <v>25</v>
      </c>
      <c r="O5">
        <f>MIN(D3:D80)</f>
        <v>30</v>
      </c>
      <c r="P5">
        <f>MIN(I3:I80)</f>
        <v>56</v>
      </c>
    </row>
    <row r="6" spans="1:16" x14ac:dyDescent="0.25">
      <c r="A6" s="4" t="s">
        <v>61</v>
      </c>
      <c r="B6" s="2">
        <v>40</v>
      </c>
      <c r="C6" s="2">
        <f t="shared" si="0"/>
        <v>8</v>
      </c>
      <c r="D6" s="2">
        <v>67</v>
      </c>
      <c r="E6" s="2">
        <f t="shared" si="1"/>
        <v>13.4</v>
      </c>
      <c r="F6" s="2">
        <v>100</v>
      </c>
      <c r="G6" s="2">
        <v>10</v>
      </c>
      <c r="H6" s="2">
        <f t="shared" si="2"/>
        <v>31.4</v>
      </c>
      <c r="I6" s="2">
        <v>80</v>
      </c>
      <c r="J6" s="2">
        <f t="shared" si="3"/>
        <v>40</v>
      </c>
      <c r="K6" s="2">
        <f t="shared" si="4"/>
        <v>71.400000000000006</v>
      </c>
    </row>
    <row r="7" spans="1:16" x14ac:dyDescent="0.25">
      <c r="A7" s="4" t="s">
        <v>19</v>
      </c>
      <c r="B7" s="2">
        <v>50</v>
      </c>
      <c r="C7" s="2">
        <f t="shared" si="0"/>
        <v>10</v>
      </c>
      <c r="D7" s="2">
        <v>45</v>
      </c>
      <c r="E7" s="2">
        <f t="shared" si="1"/>
        <v>9</v>
      </c>
      <c r="F7" s="2">
        <v>100</v>
      </c>
      <c r="G7" s="2">
        <v>10</v>
      </c>
      <c r="H7" s="2">
        <f t="shared" si="2"/>
        <v>29</v>
      </c>
      <c r="I7" s="2">
        <v>87</v>
      </c>
      <c r="J7" s="2">
        <f t="shared" si="3"/>
        <v>43.5</v>
      </c>
      <c r="K7" s="2">
        <f t="shared" si="4"/>
        <v>72.5</v>
      </c>
    </row>
    <row r="8" spans="1:16" x14ac:dyDescent="0.25">
      <c r="A8" s="4" t="s">
        <v>62</v>
      </c>
      <c r="B8" s="2">
        <v>100</v>
      </c>
      <c r="C8" s="2">
        <f t="shared" si="0"/>
        <v>20</v>
      </c>
      <c r="D8" s="2">
        <v>90</v>
      </c>
      <c r="E8" s="2">
        <f t="shared" si="1"/>
        <v>18</v>
      </c>
      <c r="F8" s="2">
        <v>100</v>
      </c>
      <c r="G8" s="2">
        <v>10</v>
      </c>
      <c r="H8" s="2">
        <f t="shared" si="2"/>
        <v>48</v>
      </c>
      <c r="I8" s="2">
        <v>100</v>
      </c>
      <c r="J8" s="2">
        <f t="shared" si="3"/>
        <v>50</v>
      </c>
      <c r="K8" s="2">
        <f t="shared" si="4"/>
        <v>98</v>
      </c>
    </row>
    <row r="9" spans="1:16" x14ac:dyDescent="0.25">
      <c r="A9" s="4" t="s">
        <v>9</v>
      </c>
      <c r="B9" s="2">
        <v>40</v>
      </c>
      <c r="C9" s="2">
        <f t="shared" si="0"/>
        <v>8</v>
      </c>
      <c r="D9" s="2">
        <v>65</v>
      </c>
      <c r="E9" s="2">
        <f t="shared" si="1"/>
        <v>13</v>
      </c>
      <c r="F9" s="2">
        <v>100</v>
      </c>
      <c r="G9" s="2">
        <v>10</v>
      </c>
      <c r="H9" s="2">
        <f t="shared" si="2"/>
        <v>31</v>
      </c>
      <c r="I9" s="2">
        <v>91</v>
      </c>
      <c r="J9" s="2">
        <f t="shared" si="3"/>
        <v>45.5</v>
      </c>
      <c r="K9" s="2">
        <f t="shared" si="4"/>
        <v>76.5</v>
      </c>
    </row>
    <row r="10" spans="1:16" x14ac:dyDescent="0.25">
      <c r="A10" s="4" t="s">
        <v>63</v>
      </c>
      <c r="B10" s="2">
        <v>40</v>
      </c>
      <c r="C10" s="2">
        <f t="shared" si="0"/>
        <v>8</v>
      </c>
      <c r="D10" s="2">
        <v>59</v>
      </c>
      <c r="E10" s="2">
        <f t="shared" si="1"/>
        <v>11.8</v>
      </c>
      <c r="F10" s="2">
        <v>100</v>
      </c>
      <c r="G10" s="2">
        <v>10</v>
      </c>
      <c r="H10" s="2">
        <f t="shared" si="2"/>
        <v>29.8</v>
      </c>
      <c r="I10" s="2">
        <v>98</v>
      </c>
      <c r="J10" s="2">
        <f t="shared" si="3"/>
        <v>49</v>
      </c>
      <c r="K10" s="2">
        <f t="shared" si="4"/>
        <v>78.8</v>
      </c>
    </row>
    <row r="11" spans="1:16" x14ac:dyDescent="0.25">
      <c r="A11" s="4" t="s">
        <v>64</v>
      </c>
      <c r="B11" s="2">
        <v>40</v>
      </c>
      <c r="C11" s="2">
        <f t="shared" si="0"/>
        <v>8</v>
      </c>
      <c r="D11" s="2">
        <v>55</v>
      </c>
      <c r="E11" s="2">
        <f t="shared" si="1"/>
        <v>11</v>
      </c>
      <c r="F11" s="2">
        <v>100</v>
      </c>
      <c r="G11" s="2">
        <v>10</v>
      </c>
      <c r="H11" s="2">
        <f t="shared" si="2"/>
        <v>29</v>
      </c>
      <c r="I11" s="2">
        <v>81</v>
      </c>
      <c r="J11" s="2">
        <f t="shared" si="3"/>
        <v>40.5</v>
      </c>
      <c r="K11" s="2">
        <f t="shared" si="4"/>
        <v>69.5</v>
      </c>
    </row>
    <row r="12" spans="1:16" x14ac:dyDescent="0.25">
      <c r="A12" s="4" t="s">
        <v>10</v>
      </c>
      <c r="B12" s="2">
        <v>100</v>
      </c>
      <c r="C12" s="2">
        <f t="shared" si="0"/>
        <v>20</v>
      </c>
      <c r="D12" s="2">
        <v>77</v>
      </c>
      <c r="E12" s="2">
        <f t="shared" si="1"/>
        <v>15.4</v>
      </c>
      <c r="F12" s="2">
        <v>100</v>
      </c>
      <c r="G12" s="2">
        <v>10</v>
      </c>
      <c r="H12" s="2">
        <f t="shared" si="2"/>
        <v>45.4</v>
      </c>
      <c r="I12" s="2">
        <v>93</v>
      </c>
      <c r="J12" s="2">
        <f t="shared" si="3"/>
        <v>46.5</v>
      </c>
      <c r="K12" s="2">
        <f t="shared" si="4"/>
        <v>91.9</v>
      </c>
    </row>
    <row r="13" spans="1:16" x14ac:dyDescent="0.25">
      <c r="A13" s="4" t="s">
        <v>17</v>
      </c>
      <c r="B13" s="2">
        <v>40</v>
      </c>
      <c r="C13" s="2">
        <f t="shared" si="0"/>
        <v>8</v>
      </c>
      <c r="D13" s="2">
        <v>60</v>
      </c>
      <c r="E13" s="2">
        <f t="shared" si="1"/>
        <v>12</v>
      </c>
      <c r="F13" s="2">
        <v>100</v>
      </c>
      <c r="G13" s="2">
        <v>10</v>
      </c>
      <c r="H13" s="2">
        <f t="shared" si="2"/>
        <v>30</v>
      </c>
      <c r="I13" s="2">
        <v>89</v>
      </c>
      <c r="J13" s="2">
        <f t="shared" si="3"/>
        <v>44.5</v>
      </c>
      <c r="K13" s="2">
        <f t="shared" si="4"/>
        <v>74.5</v>
      </c>
    </row>
    <row r="14" spans="1:16" x14ac:dyDescent="0.25">
      <c r="A14" s="4" t="s">
        <v>65</v>
      </c>
      <c r="B14" s="2">
        <v>70</v>
      </c>
      <c r="C14" s="2">
        <f t="shared" si="0"/>
        <v>14</v>
      </c>
      <c r="D14" s="2">
        <v>68</v>
      </c>
      <c r="E14" s="2">
        <f t="shared" si="1"/>
        <v>13.6</v>
      </c>
      <c r="F14" s="2">
        <v>100</v>
      </c>
      <c r="G14" s="2">
        <v>10</v>
      </c>
      <c r="H14" s="2">
        <f t="shared" si="2"/>
        <v>37.6</v>
      </c>
      <c r="I14" s="2">
        <v>96</v>
      </c>
      <c r="J14" s="2">
        <f t="shared" si="3"/>
        <v>48</v>
      </c>
      <c r="K14" s="2">
        <f t="shared" si="4"/>
        <v>85.6</v>
      </c>
    </row>
    <row r="15" spans="1:16" x14ac:dyDescent="0.25">
      <c r="A15" s="4" t="s">
        <v>11</v>
      </c>
      <c r="B15" s="2">
        <v>40</v>
      </c>
      <c r="C15" s="2">
        <f t="shared" si="0"/>
        <v>8</v>
      </c>
      <c r="D15" s="2">
        <v>45</v>
      </c>
      <c r="E15" s="2">
        <f t="shared" si="1"/>
        <v>9</v>
      </c>
      <c r="F15" s="2">
        <v>100</v>
      </c>
      <c r="G15" s="2">
        <v>10</v>
      </c>
      <c r="H15" s="2">
        <f t="shared" si="2"/>
        <v>27</v>
      </c>
      <c r="I15" s="2">
        <v>91</v>
      </c>
      <c r="J15" s="2">
        <f t="shared" si="3"/>
        <v>45.5</v>
      </c>
      <c r="K15" s="2">
        <f t="shared" si="4"/>
        <v>72.5</v>
      </c>
    </row>
    <row r="16" spans="1:16" x14ac:dyDescent="0.25">
      <c r="A16" s="4" t="s">
        <v>66</v>
      </c>
      <c r="B16" s="2">
        <v>40</v>
      </c>
      <c r="C16" s="2">
        <f t="shared" si="0"/>
        <v>8</v>
      </c>
      <c r="D16" s="2">
        <v>70</v>
      </c>
      <c r="E16" s="2">
        <f t="shared" si="1"/>
        <v>14</v>
      </c>
      <c r="F16" s="2">
        <v>100</v>
      </c>
      <c r="G16" s="2">
        <v>10</v>
      </c>
      <c r="H16" s="2">
        <f t="shared" si="2"/>
        <v>32</v>
      </c>
      <c r="I16" s="2">
        <v>83</v>
      </c>
      <c r="J16" s="2">
        <f t="shared" si="3"/>
        <v>41.5</v>
      </c>
      <c r="K16" s="2">
        <f t="shared" si="4"/>
        <v>73.5</v>
      </c>
    </row>
    <row r="17" spans="1:11" x14ac:dyDescent="0.25">
      <c r="A17" s="4" t="s">
        <v>12</v>
      </c>
      <c r="B17" s="2">
        <v>40</v>
      </c>
      <c r="C17" s="2">
        <f t="shared" si="0"/>
        <v>8</v>
      </c>
      <c r="D17" s="2">
        <v>53</v>
      </c>
      <c r="E17" s="2">
        <f t="shared" si="1"/>
        <v>10.6</v>
      </c>
      <c r="F17" s="2">
        <v>100</v>
      </c>
      <c r="G17" s="2">
        <v>10</v>
      </c>
      <c r="H17" s="2">
        <f t="shared" si="2"/>
        <v>28.6</v>
      </c>
      <c r="I17" s="2">
        <v>78</v>
      </c>
      <c r="J17" s="2">
        <f t="shared" si="3"/>
        <v>39</v>
      </c>
      <c r="K17" s="2">
        <f t="shared" si="4"/>
        <v>67.599999999999994</v>
      </c>
    </row>
    <row r="18" spans="1:11" x14ac:dyDescent="0.25">
      <c r="A18" s="4" t="s">
        <v>67</v>
      </c>
      <c r="B18" s="2">
        <v>40</v>
      </c>
      <c r="C18" s="2">
        <f t="shared" si="0"/>
        <v>8</v>
      </c>
      <c r="D18" s="2">
        <v>56</v>
      </c>
      <c r="E18" s="2">
        <f t="shared" si="1"/>
        <v>11.2</v>
      </c>
      <c r="F18" s="2">
        <v>100</v>
      </c>
      <c r="G18" s="2">
        <v>10</v>
      </c>
      <c r="H18" s="2">
        <f t="shared" si="2"/>
        <v>29.2</v>
      </c>
      <c r="I18" s="2">
        <v>86</v>
      </c>
      <c r="J18" s="2">
        <f t="shared" si="3"/>
        <v>43</v>
      </c>
      <c r="K18" s="2">
        <f t="shared" si="4"/>
        <v>72.2</v>
      </c>
    </row>
    <row r="19" spans="1:11" x14ac:dyDescent="0.25">
      <c r="A19" s="4" t="s">
        <v>68</v>
      </c>
      <c r="B19" s="2">
        <v>55</v>
      </c>
      <c r="C19" s="2">
        <f t="shared" si="0"/>
        <v>11</v>
      </c>
      <c r="D19" s="2">
        <v>67</v>
      </c>
      <c r="E19" s="2">
        <f t="shared" si="1"/>
        <v>13.4</v>
      </c>
      <c r="F19" s="2">
        <v>100</v>
      </c>
      <c r="G19" s="2">
        <v>10</v>
      </c>
      <c r="H19" s="2">
        <f t="shared" si="2"/>
        <v>34.4</v>
      </c>
      <c r="I19" s="2">
        <v>88</v>
      </c>
      <c r="J19" s="2">
        <f t="shared" si="3"/>
        <v>44</v>
      </c>
      <c r="K19" s="2">
        <f t="shared" si="4"/>
        <v>78.400000000000006</v>
      </c>
    </row>
    <row r="20" spans="1:11" x14ac:dyDescent="0.25">
      <c r="A20" s="4" t="s">
        <v>24</v>
      </c>
      <c r="B20" s="2">
        <v>100</v>
      </c>
      <c r="C20" s="2">
        <f t="shared" si="0"/>
        <v>20</v>
      </c>
      <c r="D20" s="2">
        <v>50</v>
      </c>
      <c r="E20" s="2">
        <f t="shared" si="1"/>
        <v>10</v>
      </c>
      <c r="F20" s="2">
        <v>100</v>
      </c>
      <c r="G20" s="2">
        <v>10</v>
      </c>
      <c r="H20" s="2">
        <f t="shared" si="2"/>
        <v>40</v>
      </c>
      <c r="I20" s="2">
        <v>99</v>
      </c>
      <c r="J20" s="2">
        <f t="shared" si="3"/>
        <v>49.5</v>
      </c>
      <c r="K20" s="2">
        <f t="shared" si="4"/>
        <v>89.5</v>
      </c>
    </row>
    <row r="21" spans="1:11" x14ac:dyDescent="0.25">
      <c r="A21" s="4" t="s">
        <v>69</v>
      </c>
      <c r="B21" s="2">
        <v>95</v>
      </c>
      <c r="C21" s="2">
        <f t="shared" si="0"/>
        <v>19</v>
      </c>
      <c r="D21" s="2">
        <v>74</v>
      </c>
      <c r="E21" s="2">
        <f t="shared" si="1"/>
        <v>14.8</v>
      </c>
      <c r="F21" s="2">
        <v>100</v>
      </c>
      <c r="G21" s="2">
        <v>10</v>
      </c>
      <c r="H21" s="2">
        <f t="shared" si="2"/>
        <v>43.8</v>
      </c>
      <c r="I21" s="2">
        <v>89</v>
      </c>
      <c r="J21" s="2">
        <f t="shared" si="3"/>
        <v>44.5</v>
      </c>
      <c r="K21" s="2">
        <f t="shared" si="4"/>
        <v>88.3</v>
      </c>
    </row>
    <row r="22" spans="1:11" x14ac:dyDescent="0.25">
      <c r="A22" s="4" t="s">
        <v>70</v>
      </c>
      <c r="B22" s="2">
        <v>40</v>
      </c>
      <c r="C22" s="2">
        <f t="shared" si="0"/>
        <v>8</v>
      </c>
      <c r="D22" s="2">
        <v>70</v>
      </c>
      <c r="E22" s="2">
        <f t="shared" si="1"/>
        <v>14</v>
      </c>
      <c r="F22" s="2">
        <v>100</v>
      </c>
      <c r="G22" s="2">
        <v>10</v>
      </c>
      <c r="H22" s="2">
        <f t="shared" si="2"/>
        <v>32</v>
      </c>
      <c r="I22" s="2">
        <v>96</v>
      </c>
      <c r="J22" s="2">
        <f t="shared" si="3"/>
        <v>48</v>
      </c>
      <c r="K22" s="2">
        <f t="shared" si="4"/>
        <v>80</v>
      </c>
    </row>
    <row r="23" spans="1:11" x14ac:dyDescent="0.25">
      <c r="A23" s="4" t="s">
        <v>71</v>
      </c>
      <c r="B23" s="2">
        <v>40</v>
      </c>
      <c r="C23" s="2">
        <f t="shared" si="0"/>
        <v>8</v>
      </c>
      <c r="D23" s="2">
        <v>50</v>
      </c>
      <c r="E23" s="2">
        <f t="shared" si="1"/>
        <v>10</v>
      </c>
      <c r="F23" s="2">
        <v>100</v>
      </c>
      <c r="G23" s="2">
        <v>10</v>
      </c>
      <c r="H23" s="2">
        <f t="shared" si="2"/>
        <v>28</v>
      </c>
      <c r="I23" s="2">
        <v>63</v>
      </c>
      <c r="J23" s="2">
        <f t="shared" si="3"/>
        <v>31.5</v>
      </c>
      <c r="K23" s="2">
        <f t="shared" si="4"/>
        <v>59.5</v>
      </c>
    </row>
    <row r="24" spans="1:11" x14ac:dyDescent="0.25">
      <c r="A24" s="4" t="s">
        <v>72</v>
      </c>
      <c r="B24" s="2">
        <v>40</v>
      </c>
      <c r="C24" s="2">
        <f t="shared" si="0"/>
        <v>8</v>
      </c>
      <c r="D24" s="2">
        <v>30</v>
      </c>
      <c r="E24" s="2">
        <f t="shared" si="1"/>
        <v>6</v>
      </c>
      <c r="F24" s="2">
        <v>100</v>
      </c>
      <c r="G24" s="2">
        <v>10</v>
      </c>
      <c r="H24" s="2">
        <f t="shared" si="2"/>
        <v>24</v>
      </c>
      <c r="I24" s="2">
        <v>62</v>
      </c>
      <c r="J24" s="2">
        <f t="shared" si="3"/>
        <v>31</v>
      </c>
      <c r="K24" s="2">
        <f t="shared" si="4"/>
        <v>55</v>
      </c>
    </row>
    <row r="25" spans="1:11" x14ac:dyDescent="0.25">
      <c r="A25" s="4" t="s">
        <v>73</v>
      </c>
      <c r="B25" s="2">
        <v>40</v>
      </c>
      <c r="C25" s="2">
        <f t="shared" si="0"/>
        <v>8</v>
      </c>
      <c r="D25" s="2">
        <v>61</v>
      </c>
      <c r="E25" s="2">
        <f t="shared" si="1"/>
        <v>12.2</v>
      </c>
      <c r="F25" s="2">
        <v>100</v>
      </c>
      <c r="G25" s="2">
        <v>10</v>
      </c>
      <c r="H25" s="2">
        <f t="shared" si="2"/>
        <v>30.2</v>
      </c>
      <c r="I25" s="2">
        <v>92</v>
      </c>
      <c r="J25" s="2">
        <f t="shared" si="3"/>
        <v>46</v>
      </c>
      <c r="K25" s="2">
        <f t="shared" si="4"/>
        <v>76.2</v>
      </c>
    </row>
    <row r="26" spans="1:11" x14ac:dyDescent="0.25">
      <c r="A26" s="4" t="s">
        <v>74</v>
      </c>
      <c r="B26" s="2">
        <v>100</v>
      </c>
      <c r="C26" s="2">
        <f t="shared" si="0"/>
        <v>20</v>
      </c>
      <c r="D26" s="2">
        <v>95</v>
      </c>
      <c r="E26" s="2">
        <f t="shared" si="1"/>
        <v>19</v>
      </c>
      <c r="F26" s="2">
        <v>100</v>
      </c>
      <c r="G26" s="2">
        <v>10</v>
      </c>
      <c r="H26" s="2">
        <f t="shared" si="2"/>
        <v>49</v>
      </c>
      <c r="I26" s="2">
        <v>100</v>
      </c>
      <c r="J26" s="2">
        <f t="shared" si="3"/>
        <v>50</v>
      </c>
      <c r="K26" s="2">
        <f t="shared" si="4"/>
        <v>99</v>
      </c>
    </row>
    <row r="27" spans="1:11" x14ac:dyDescent="0.25">
      <c r="A27" s="4" t="s">
        <v>16</v>
      </c>
      <c r="B27" s="2">
        <v>40</v>
      </c>
      <c r="C27" s="2">
        <f t="shared" si="0"/>
        <v>8</v>
      </c>
      <c r="D27" s="2">
        <v>78</v>
      </c>
      <c r="E27" s="2">
        <f t="shared" si="1"/>
        <v>15.6</v>
      </c>
      <c r="F27" s="2">
        <v>100</v>
      </c>
      <c r="G27" s="2">
        <v>10</v>
      </c>
      <c r="H27" s="2">
        <f t="shared" si="2"/>
        <v>33.6</v>
      </c>
      <c r="I27" s="2">
        <v>84</v>
      </c>
      <c r="J27" s="2">
        <f t="shared" si="3"/>
        <v>42</v>
      </c>
      <c r="K27" s="2">
        <f t="shared" si="4"/>
        <v>75.599999999999994</v>
      </c>
    </row>
    <row r="28" spans="1:11" x14ac:dyDescent="0.25">
      <c r="A28" s="4" t="s">
        <v>29</v>
      </c>
      <c r="B28" s="2">
        <v>40</v>
      </c>
      <c r="C28" s="2">
        <f t="shared" si="0"/>
        <v>8</v>
      </c>
      <c r="D28" s="2">
        <v>57</v>
      </c>
      <c r="E28" s="2">
        <f t="shared" si="1"/>
        <v>11.4</v>
      </c>
      <c r="F28" s="2">
        <v>100</v>
      </c>
      <c r="G28" s="2">
        <v>10</v>
      </c>
      <c r="H28" s="2">
        <f t="shared" si="2"/>
        <v>29.4</v>
      </c>
      <c r="I28" s="2">
        <v>83</v>
      </c>
      <c r="J28" s="2">
        <f t="shared" si="3"/>
        <v>41.5</v>
      </c>
      <c r="K28" s="2">
        <f t="shared" si="4"/>
        <v>70.900000000000006</v>
      </c>
    </row>
    <row r="29" spans="1:11" x14ac:dyDescent="0.25">
      <c r="A29" s="4" t="s">
        <v>30</v>
      </c>
      <c r="B29" s="2">
        <v>40</v>
      </c>
      <c r="C29" s="2">
        <f t="shared" si="0"/>
        <v>8</v>
      </c>
      <c r="D29" s="2">
        <v>54</v>
      </c>
      <c r="E29" s="2">
        <f t="shared" si="1"/>
        <v>10.8</v>
      </c>
      <c r="F29" s="2">
        <v>100</v>
      </c>
      <c r="G29" s="2">
        <v>10</v>
      </c>
      <c r="H29" s="2">
        <f t="shared" si="2"/>
        <v>28.8</v>
      </c>
      <c r="I29" s="2">
        <v>80</v>
      </c>
      <c r="J29" s="2">
        <f t="shared" si="3"/>
        <v>40</v>
      </c>
      <c r="K29" s="2">
        <f t="shared" si="4"/>
        <v>68.8</v>
      </c>
    </row>
    <row r="30" spans="1:11" x14ac:dyDescent="0.25">
      <c r="A30" s="4" t="s">
        <v>87</v>
      </c>
      <c r="B30" s="16">
        <v>100</v>
      </c>
      <c r="C30" s="2">
        <f t="shared" si="0"/>
        <v>20</v>
      </c>
      <c r="D30" s="16">
        <v>91</v>
      </c>
      <c r="E30" s="2">
        <f t="shared" si="1"/>
        <v>18.2</v>
      </c>
      <c r="F30" s="2">
        <v>100</v>
      </c>
      <c r="G30" s="2">
        <v>10</v>
      </c>
      <c r="H30" s="2">
        <f t="shared" si="2"/>
        <v>48.2</v>
      </c>
      <c r="I30" s="16">
        <v>95</v>
      </c>
      <c r="J30" s="2">
        <f t="shared" si="3"/>
        <v>47.5</v>
      </c>
      <c r="K30" s="2">
        <f t="shared" si="4"/>
        <v>95.7</v>
      </c>
    </row>
    <row r="31" spans="1:11" x14ac:dyDescent="0.25">
      <c r="A31" s="4" t="s">
        <v>88</v>
      </c>
      <c r="B31" s="16">
        <v>100</v>
      </c>
      <c r="C31" s="2">
        <f t="shared" si="0"/>
        <v>20</v>
      </c>
      <c r="D31" s="16">
        <v>71</v>
      </c>
      <c r="E31" s="2">
        <f t="shared" si="1"/>
        <v>14.2</v>
      </c>
      <c r="F31" s="2">
        <v>100</v>
      </c>
      <c r="G31" s="2">
        <v>10</v>
      </c>
      <c r="H31" s="2">
        <f t="shared" si="2"/>
        <v>44.2</v>
      </c>
      <c r="I31" s="16">
        <v>76</v>
      </c>
      <c r="J31" s="2">
        <f t="shared" si="3"/>
        <v>38</v>
      </c>
      <c r="K31" s="2">
        <f t="shared" si="4"/>
        <v>82.2</v>
      </c>
    </row>
    <row r="32" spans="1:11" x14ac:dyDescent="0.25">
      <c r="A32" s="4" t="s">
        <v>89</v>
      </c>
      <c r="B32" s="16">
        <v>100</v>
      </c>
      <c r="C32" s="2">
        <f t="shared" si="0"/>
        <v>20</v>
      </c>
      <c r="D32" s="16">
        <v>94</v>
      </c>
      <c r="E32" s="2">
        <f t="shared" si="1"/>
        <v>18.8</v>
      </c>
      <c r="F32" s="2">
        <v>100</v>
      </c>
      <c r="G32" s="2">
        <v>10</v>
      </c>
      <c r="H32" s="2">
        <f t="shared" si="2"/>
        <v>48.8</v>
      </c>
      <c r="I32" s="16">
        <v>97</v>
      </c>
      <c r="J32" s="2">
        <f t="shared" si="3"/>
        <v>48.5</v>
      </c>
      <c r="K32" s="2">
        <f t="shared" si="4"/>
        <v>97.3</v>
      </c>
    </row>
    <row r="33" spans="1:11" x14ac:dyDescent="0.25">
      <c r="A33" s="4" t="s">
        <v>90</v>
      </c>
      <c r="B33" s="16">
        <v>100</v>
      </c>
      <c r="C33" s="2">
        <f t="shared" si="0"/>
        <v>20</v>
      </c>
      <c r="D33" s="16">
        <v>94</v>
      </c>
      <c r="E33" s="2">
        <f t="shared" si="1"/>
        <v>18.8</v>
      </c>
      <c r="F33" s="2">
        <v>100</v>
      </c>
      <c r="G33" s="2">
        <v>10</v>
      </c>
      <c r="H33" s="2">
        <f t="shared" si="2"/>
        <v>48.8</v>
      </c>
      <c r="I33" s="16">
        <v>93</v>
      </c>
      <c r="J33" s="2">
        <f t="shared" si="3"/>
        <v>46.5</v>
      </c>
      <c r="K33" s="2">
        <f t="shared" si="4"/>
        <v>95.3</v>
      </c>
    </row>
    <row r="34" spans="1:11" x14ac:dyDescent="0.25">
      <c r="A34" s="4" t="s">
        <v>91</v>
      </c>
      <c r="B34" s="16">
        <v>100</v>
      </c>
      <c r="C34" s="2">
        <f t="shared" si="0"/>
        <v>20</v>
      </c>
      <c r="D34" s="16">
        <v>91</v>
      </c>
      <c r="E34" s="2">
        <f t="shared" si="1"/>
        <v>18.2</v>
      </c>
      <c r="F34" s="2">
        <v>100</v>
      </c>
      <c r="G34" s="2">
        <v>10</v>
      </c>
      <c r="H34" s="2">
        <f t="shared" si="2"/>
        <v>48.2</v>
      </c>
      <c r="I34" s="16">
        <v>95</v>
      </c>
      <c r="J34" s="2">
        <f t="shared" si="3"/>
        <v>47.5</v>
      </c>
      <c r="K34" s="2">
        <f t="shared" si="4"/>
        <v>95.7</v>
      </c>
    </row>
    <row r="35" spans="1:11" x14ac:dyDescent="0.25">
      <c r="A35" s="4" t="s">
        <v>92</v>
      </c>
      <c r="B35" s="16">
        <v>100</v>
      </c>
      <c r="C35" s="2">
        <f t="shared" si="0"/>
        <v>20</v>
      </c>
      <c r="D35" s="16">
        <v>82</v>
      </c>
      <c r="E35" s="2">
        <f t="shared" si="1"/>
        <v>16.399999999999999</v>
      </c>
      <c r="F35" s="2">
        <v>100</v>
      </c>
      <c r="G35" s="2">
        <v>10</v>
      </c>
      <c r="H35" s="2">
        <f t="shared" si="2"/>
        <v>46.4</v>
      </c>
      <c r="I35" s="16">
        <v>96</v>
      </c>
      <c r="J35" s="2">
        <f t="shared" si="3"/>
        <v>48</v>
      </c>
      <c r="K35" s="2">
        <f t="shared" si="4"/>
        <v>94.4</v>
      </c>
    </row>
    <row r="36" spans="1:11" x14ac:dyDescent="0.25">
      <c r="A36" s="4" t="s">
        <v>93</v>
      </c>
      <c r="B36" s="16">
        <v>100</v>
      </c>
      <c r="C36" s="2">
        <f t="shared" si="0"/>
        <v>20</v>
      </c>
      <c r="D36" s="16">
        <v>90</v>
      </c>
      <c r="E36" s="2">
        <f t="shared" si="1"/>
        <v>18</v>
      </c>
      <c r="F36" s="2">
        <v>100</v>
      </c>
      <c r="G36" s="2">
        <v>10</v>
      </c>
      <c r="H36" s="2">
        <f t="shared" si="2"/>
        <v>48</v>
      </c>
      <c r="I36" s="16">
        <v>98</v>
      </c>
      <c r="J36" s="2">
        <f t="shared" si="3"/>
        <v>49</v>
      </c>
      <c r="K36" s="2">
        <f t="shared" si="4"/>
        <v>97</v>
      </c>
    </row>
    <row r="37" spans="1:11" x14ac:dyDescent="0.25">
      <c r="A37" s="4" t="s">
        <v>94</v>
      </c>
      <c r="B37" s="16">
        <v>100</v>
      </c>
      <c r="C37" s="2">
        <f t="shared" si="0"/>
        <v>20</v>
      </c>
      <c r="D37" s="16">
        <v>89</v>
      </c>
      <c r="E37" s="2">
        <f t="shared" si="1"/>
        <v>17.8</v>
      </c>
      <c r="F37" s="2">
        <v>100</v>
      </c>
      <c r="G37" s="2">
        <v>10</v>
      </c>
      <c r="H37" s="2">
        <f t="shared" si="2"/>
        <v>47.8</v>
      </c>
      <c r="I37" s="16">
        <v>95</v>
      </c>
      <c r="J37" s="2">
        <f t="shared" si="3"/>
        <v>47.5</v>
      </c>
      <c r="K37" s="2">
        <f t="shared" si="4"/>
        <v>95.3</v>
      </c>
    </row>
    <row r="38" spans="1:11" x14ac:dyDescent="0.25">
      <c r="A38" s="4" t="s">
        <v>95</v>
      </c>
      <c r="B38" s="16">
        <v>100</v>
      </c>
      <c r="C38" s="2">
        <f t="shared" si="0"/>
        <v>20</v>
      </c>
      <c r="D38" s="16">
        <v>81</v>
      </c>
      <c r="E38" s="2">
        <f t="shared" si="1"/>
        <v>16.2</v>
      </c>
      <c r="F38" s="2">
        <v>100</v>
      </c>
      <c r="G38" s="2">
        <v>10</v>
      </c>
      <c r="H38" s="2">
        <f t="shared" si="2"/>
        <v>46.2</v>
      </c>
      <c r="I38" s="16">
        <v>94</v>
      </c>
      <c r="J38" s="2">
        <f t="shared" si="3"/>
        <v>47</v>
      </c>
      <c r="K38" s="2">
        <f t="shared" si="4"/>
        <v>93.2</v>
      </c>
    </row>
    <row r="39" spans="1:11" x14ac:dyDescent="0.25">
      <c r="A39" s="4" t="s">
        <v>96</v>
      </c>
      <c r="B39" s="16">
        <v>100</v>
      </c>
      <c r="C39" s="2">
        <f t="shared" si="0"/>
        <v>20</v>
      </c>
      <c r="D39" s="16">
        <v>82</v>
      </c>
      <c r="E39" s="2">
        <f t="shared" si="1"/>
        <v>16.399999999999999</v>
      </c>
      <c r="F39" s="2">
        <v>100</v>
      </c>
      <c r="G39" s="2">
        <v>10</v>
      </c>
      <c r="H39" s="2">
        <f t="shared" si="2"/>
        <v>46.4</v>
      </c>
      <c r="I39" s="16">
        <v>87</v>
      </c>
      <c r="J39" s="2">
        <f t="shared" si="3"/>
        <v>43.5</v>
      </c>
      <c r="K39" s="2">
        <f t="shared" si="4"/>
        <v>89.9</v>
      </c>
    </row>
    <row r="40" spans="1:11" x14ac:dyDescent="0.25">
      <c r="A40" s="4" t="s">
        <v>97</v>
      </c>
      <c r="B40" s="16">
        <v>100</v>
      </c>
      <c r="C40" s="2">
        <f t="shared" si="0"/>
        <v>20</v>
      </c>
      <c r="D40" s="16">
        <v>92</v>
      </c>
      <c r="E40" s="2">
        <f t="shared" si="1"/>
        <v>18.399999999999999</v>
      </c>
      <c r="F40" s="2">
        <v>100</v>
      </c>
      <c r="G40" s="2">
        <v>10</v>
      </c>
      <c r="H40" s="2">
        <f t="shared" si="2"/>
        <v>48.4</v>
      </c>
      <c r="I40" s="16">
        <v>98</v>
      </c>
      <c r="J40" s="2">
        <f t="shared" si="3"/>
        <v>49</v>
      </c>
      <c r="K40" s="2">
        <f t="shared" si="4"/>
        <v>97.4</v>
      </c>
    </row>
    <row r="41" spans="1:11" x14ac:dyDescent="0.25">
      <c r="A41" s="4" t="s">
        <v>98</v>
      </c>
      <c r="B41" s="16">
        <v>65</v>
      </c>
      <c r="C41" s="2">
        <f t="shared" si="0"/>
        <v>13</v>
      </c>
      <c r="D41" s="16">
        <v>91</v>
      </c>
      <c r="E41" s="2">
        <f t="shared" si="1"/>
        <v>18.2</v>
      </c>
      <c r="F41" s="2">
        <v>100</v>
      </c>
      <c r="G41" s="2">
        <v>10</v>
      </c>
      <c r="H41" s="2">
        <f t="shared" si="2"/>
        <v>41.2</v>
      </c>
      <c r="I41" s="16">
        <v>95</v>
      </c>
      <c r="J41" s="2">
        <f t="shared" si="3"/>
        <v>47.5</v>
      </c>
      <c r="K41" s="2">
        <f t="shared" si="4"/>
        <v>88.7</v>
      </c>
    </row>
    <row r="42" spans="1:11" x14ac:dyDescent="0.25">
      <c r="A42" s="4" t="s">
        <v>99</v>
      </c>
      <c r="B42" s="16">
        <v>100</v>
      </c>
      <c r="C42" s="2">
        <f t="shared" si="0"/>
        <v>20</v>
      </c>
      <c r="D42" s="16">
        <v>88</v>
      </c>
      <c r="E42" s="2">
        <f t="shared" si="1"/>
        <v>17.600000000000001</v>
      </c>
      <c r="F42" s="2">
        <v>100</v>
      </c>
      <c r="G42" s="2">
        <v>10</v>
      </c>
      <c r="H42" s="2">
        <f t="shared" si="2"/>
        <v>47.6</v>
      </c>
      <c r="I42" s="16">
        <v>95</v>
      </c>
      <c r="J42" s="2">
        <f t="shared" si="3"/>
        <v>47.5</v>
      </c>
      <c r="K42" s="2">
        <f t="shared" si="4"/>
        <v>95.1</v>
      </c>
    </row>
    <row r="43" spans="1:11" x14ac:dyDescent="0.25">
      <c r="A43" s="4" t="s">
        <v>100</v>
      </c>
      <c r="B43" s="16">
        <v>100</v>
      </c>
      <c r="C43" s="2">
        <f t="shared" si="0"/>
        <v>20</v>
      </c>
      <c r="D43" s="16">
        <v>89</v>
      </c>
      <c r="E43" s="2">
        <f t="shared" si="1"/>
        <v>17.8</v>
      </c>
      <c r="F43" s="2">
        <v>100</v>
      </c>
      <c r="G43" s="2">
        <v>10</v>
      </c>
      <c r="H43" s="2">
        <f t="shared" si="2"/>
        <v>47.8</v>
      </c>
      <c r="I43" s="16">
        <v>98</v>
      </c>
      <c r="J43" s="2">
        <f t="shared" si="3"/>
        <v>49</v>
      </c>
      <c r="K43" s="2">
        <f t="shared" si="4"/>
        <v>96.8</v>
      </c>
    </row>
    <row r="44" spans="1:11" x14ac:dyDescent="0.25">
      <c r="A44" s="4" t="s">
        <v>101</v>
      </c>
      <c r="B44" s="16">
        <v>100</v>
      </c>
      <c r="C44" s="2">
        <f t="shared" si="0"/>
        <v>20</v>
      </c>
      <c r="D44" s="16">
        <v>99</v>
      </c>
      <c r="E44" s="2">
        <f t="shared" si="1"/>
        <v>19.8</v>
      </c>
      <c r="F44" s="2">
        <v>100</v>
      </c>
      <c r="G44" s="2">
        <v>10</v>
      </c>
      <c r="H44" s="2">
        <f t="shared" si="2"/>
        <v>49.8</v>
      </c>
      <c r="I44" s="16">
        <v>99</v>
      </c>
      <c r="J44" s="2">
        <f t="shared" si="3"/>
        <v>49.5</v>
      </c>
      <c r="K44" s="2">
        <f t="shared" si="4"/>
        <v>99.3</v>
      </c>
    </row>
    <row r="45" spans="1:11" x14ac:dyDescent="0.25">
      <c r="A45" s="4" t="s">
        <v>102</v>
      </c>
      <c r="B45" s="16">
        <v>100</v>
      </c>
      <c r="C45" s="2">
        <f t="shared" si="0"/>
        <v>20</v>
      </c>
      <c r="D45" s="16">
        <v>89</v>
      </c>
      <c r="E45" s="2">
        <f t="shared" si="1"/>
        <v>17.8</v>
      </c>
      <c r="F45" s="2">
        <v>100</v>
      </c>
      <c r="G45" s="2">
        <v>10</v>
      </c>
      <c r="H45" s="2">
        <f t="shared" si="2"/>
        <v>47.8</v>
      </c>
      <c r="I45" s="16">
        <v>97</v>
      </c>
      <c r="J45" s="2">
        <f t="shared" si="3"/>
        <v>48.5</v>
      </c>
      <c r="K45" s="2">
        <f t="shared" si="4"/>
        <v>96.3</v>
      </c>
    </row>
    <row r="46" spans="1:11" x14ac:dyDescent="0.25">
      <c r="A46" s="4" t="s">
        <v>103</v>
      </c>
      <c r="B46" s="16">
        <v>100</v>
      </c>
      <c r="C46" s="2">
        <f t="shared" si="0"/>
        <v>20</v>
      </c>
      <c r="D46" s="16">
        <v>90</v>
      </c>
      <c r="E46" s="2">
        <f t="shared" si="1"/>
        <v>18</v>
      </c>
      <c r="F46" s="2">
        <v>100</v>
      </c>
      <c r="G46" s="2">
        <v>10</v>
      </c>
      <c r="H46" s="2">
        <f t="shared" si="2"/>
        <v>48</v>
      </c>
      <c r="I46" s="16">
        <v>90</v>
      </c>
      <c r="J46" s="2">
        <f t="shared" si="3"/>
        <v>45</v>
      </c>
      <c r="K46" s="2">
        <f t="shared" si="4"/>
        <v>93</v>
      </c>
    </row>
    <row r="47" spans="1:11" x14ac:dyDescent="0.25">
      <c r="A47" s="4" t="s">
        <v>104</v>
      </c>
      <c r="B47" s="16">
        <v>100</v>
      </c>
      <c r="C47" s="2">
        <f t="shared" si="0"/>
        <v>20</v>
      </c>
      <c r="D47" s="16">
        <v>92</v>
      </c>
      <c r="E47" s="2">
        <f t="shared" si="1"/>
        <v>18.399999999999999</v>
      </c>
      <c r="F47" s="2">
        <v>100</v>
      </c>
      <c r="G47" s="2">
        <v>10</v>
      </c>
      <c r="H47" s="2">
        <f t="shared" si="2"/>
        <v>48.4</v>
      </c>
      <c r="I47" s="16">
        <v>72</v>
      </c>
      <c r="J47" s="2">
        <f t="shared" si="3"/>
        <v>36</v>
      </c>
      <c r="K47" s="2">
        <f t="shared" si="4"/>
        <v>84.4</v>
      </c>
    </row>
    <row r="48" spans="1:11" x14ac:dyDescent="0.25">
      <c r="A48" s="4" t="s">
        <v>105</v>
      </c>
      <c r="B48" s="16">
        <v>100</v>
      </c>
      <c r="C48" s="2">
        <f t="shared" si="0"/>
        <v>20</v>
      </c>
      <c r="D48" s="16">
        <v>92</v>
      </c>
      <c r="E48" s="2">
        <f t="shared" si="1"/>
        <v>18.399999999999999</v>
      </c>
      <c r="F48" s="2">
        <v>100</v>
      </c>
      <c r="G48" s="2">
        <v>10</v>
      </c>
      <c r="H48" s="2">
        <f t="shared" si="2"/>
        <v>48.4</v>
      </c>
      <c r="I48" s="16">
        <v>97</v>
      </c>
      <c r="J48" s="2">
        <f t="shared" si="3"/>
        <v>48.5</v>
      </c>
      <c r="K48" s="2">
        <f t="shared" si="4"/>
        <v>96.9</v>
      </c>
    </row>
    <row r="49" spans="1:11" x14ac:dyDescent="0.25">
      <c r="A49" s="4" t="s">
        <v>106</v>
      </c>
      <c r="B49" s="16">
        <v>100</v>
      </c>
      <c r="C49" s="2">
        <f t="shared" si="0"/>
        <v>20</v>
      </c>
      <c r="D49" s="16">
        <v>96</v>
      </c>
      <c r="E49" s="2">
        <f t="shared" si="1"/>
        <v>19.2</v>
      </c>
      <c r="F49" s="2">
        <v>100</v>
      </c>
      <c r="G49" s="2">
        <v>10</v>
      </c>
      <c r="H49" s="2">
        <f t="shared" si="2"/>
        <v>49.2</v>
      </c>
      <c r="I49" s="16">
        <v>92</v>
      </c>
      <c r="J49" s="2">
        <f t="shared" si="3"/>
        <v>46</v>
      </c>
      <c r="K49" s="2">
        <f t="shared" si="4"/>
        <v>95.2</v>
      </c>
    </row>
    <row r="50" spans="1:11" x14ac:dyDescent="0.25">
      <c r="A50" s="4" t="s">
        <v>107</v>
      </c>
      <c r="B50" s="16">
        <v>100</v>
      </c>
      <c r="C50" s="2">
        <f t="shared" si="0"/>
        <v>20</v>
      </c>
      <c r="D50" s="16">
        <v>83</v>
      </c>
      <c r="E50" s="2">
        <f t="shared" si="1"/>
        <v>16.600000000000001</v>
      </c>
      <c r="F50" s="2">
        <v>100</v>
      </c>
      <c r="G50" s="2">
        <v>10</v>
      </c>
      <c r="H50" s="2">
        <f t="shared" si="2"/>
        <v>46.6</v>
      </c>
      <c r="I50" s="16">
        <v>96</v>
      </c>
      <c r="J50" s="2">
        <f t="shared" si="3"/>
        <v>48</v>
      </c>
      <c r="K50" s="2">
        <f t="shared" si="4"/>
        <v>94.6</v>
      </c>
    </row>
    <row r="51" spans="1:11" x14ac:dyDescent="0.25">
      <c r="A51" s="4" t="s">
        <v>108</v>
      </c>
      <c r="B51" s="16">
        <v>100</v>
      </c>
      <c r="C51" s="2">
        <f t="shared" si="0"/>
        <v>20</v>
      </c>
      <c r="D51" s="16">
        <v>78</v>
      </c>
      <c r="E51" s="2">
        <f t="shared" si="1"/>
        <v>15.6</v>
      </c>
      <c r="F51" s="2">
        <v>100</v>
      </c>
      <c r="G51" s="2">
        <v>10</v>
      </c>
      <c r="H51" s="2">
        <f t="shared" si="2"/>
        <v>45.6</v>
      </c>
      <c r="I51" s="16">
        <v>98</v>
      </c>
      <c r="J51" s="2">
        <f t="shared" si="3"/>
        <v>49</v>
      </c>
      <c r="K51" s="2">
        <f t="shared" si="4"/>
        <v>94.6</v>
      </c>
    </row>
    <row r="52" spans="1:11" x14ac:dyDescent="0.25">
      <c r="A52" s="4" t="s">
        <v>109</v>
      </c>
      <c r="B52" s="16">
        <v>80</v>
      </c>
      <c r="C52" s="2">
        <f t="shared" si="0"/>
        <v>16</v>
      </c>
      <c r="D52" s="16">
        <v>89</v>
      </c>
      <c r="E52" s="2">
        <f t="shared" si="1"/>
        <v>17.8</v>
      </c>
      <c r="F52" s="2">
        <v>100</v>
      </c>
      <c r="G52" s="2">
        <v>10</v>
      </c>
      <c r="H52" s="2">
        <f t="shared" si="2"/>
        <v>43.8</v>
      </c>
      <c r="I52" s="16">
        <v>64</v>
      </c>
      <c r="J52" s="2">
        <f t="shared" si="3"/>
        <v>32</v>
      </c>
      <c r="K52" s="2">
        <f t="shared" si="4"/>
        <v>75.8</v>
      </c>
    </row>
    <row r="53" spans="1:11" x14ac:dyDescent="0.25">
      <c r="A53" s="4" t="s">
        <v>110</v>
      </c>
      <c r="B53" s="16">
        <v>100</v>
      </c>
      <c r="C53" s="2">
        <f t="shared" si="0"/>
        <v>20</v>
      </c>
      <c r="D53" s="16">
        <v>94</v>
      </c>
      <c r="E53" s="2">
        <f t="shared" si="1"/>
        <v>18.8</v>
      </c>
      <c r="F53" s="2">
        <v>100</v>
      </c>
      <c r="G53" s="2">
        <v>10</v>
      </c>
      <c r="H53" s="2">
        <f t="shared" si="2"/>
        <v>48.8</v>
      </c>
      <c r="I53" s="16">
        <v>98</v>
      </c>
      <c r="J53" s="2">
        <f t="shared" si="3"/>
        <v>49</v>
      </c>
      <c r="K53" s="2">
        <f t="shared" si="4"/>
        <v>97.8</v>
      </c>
    </row>
    <row r="54" spans="1:11" x14ac:dyDescent="0.25">
      <c r="A54" s="4" t="s">
        <v>111</v>
      </c>
      <c r="B54" s="16">
        <v>100</v>
      </c>
      <c r="C54" s="2">
        <f t="shared" si="0"/>
        <v>20</v>
      </c>
      <c r="D54" s="16">
        <v>86</v>
      </c>
      <c r="E54" s="2">
        <f t="shared" si="1"/>
        <v>17.2</v>
      </c>
      <c r="F54" s="2">
        <v>100</v>
      </c>
      <c r="G54" s="2">
        <v>10</v>
      </c>
      <c r="H54" s="2">
        <f t="shared" si="2"/>
        <v>47.2</v>
      </c>
      <c r="I54" s="16">
        <v>98</v>
      </c>
      <c r="J54" s="2">
        <f t="shared" si="3"/>
        <v>49</v>
      </c>
      <c r="K54" s="2">
        <f t="shared" si="4"/>
        <v>96.2</v>
      </c>
    </row>
    <row r="55" spans="1:11" x14ac:dyDescent="0.25">
      <c r="A55" s="4" t="s">
        <v>112</v>
      </c>
      <c r="B55" s="16">
        <v>40</v>
      </c>
      <c r="C55" s="2">
        <f t="shared" si="0"/>
        <v>8</v>
      </c>
      <c r="D55" s="16">
        <v>32</v>
      </c>
      <c r="E55" s="2">
        <f t="shared" si="1"/>
        <v>6.4</v>
      </c>
      <c r="F55" s="2">
        <v>100</v>
      </c>
      <c r="G55" s="2">
        <v>10</v>
      </c>
      <c r="H55" s="2">
        <f t="shared" si="2"/>
        <v>24.4</v>
      </c>
      <c r="I55" s="16">
        <v>56</v>
      </c>
      <c r="J55" s="2">
        <f t="shared" si="3"/>
        <v>28</v>
      </c>
      <c r="K55" s="2">
        <f t="shared" si="4"/>
        <v>52.4</v>
      </c>
    </row>
    <row r="56" spans="1:11" x14ac:dyDescent="0.25">
      <c r="A56" s="4" t="s">
        <v>113</v>
      </c>
      <c r="B56" s="16">
        <v>60</v>
      </c>
      <c r="C56" s="2">
        <f t="shared" si="0"/>
        <v>12</v>
      </c>
      <c r="D56" s="16">
        <v>98</v>
      </c>
      <c r="E56" s="2">
        <f t="shared" si="1"/>
        <v>19.600000000000001</v>
      </c>
      <c r="F56" s="2">
        <v>100</v>
      </c>
      <c r="G56" s="2">
        <v>10</v>
      </c>
      <c r="H56" s="2">
        <f t="shared" si="2"/>
        <v>41.6</v>
      </c>
      <c r="I56" s="16">
        <v>93</v>
      </c>
      <c r="J56" s="2">
        <f t="shared" si="3"/>
        <v>46.5</v>
      </c>
      <c r="K56" s="2">
        <f t="shared" si="4"/>
        <v>88.1</v>
      </c>
    </row>
    <row r="57" spans="1:11" x14ac:dyDescent="0.25">
      <c r="A57" s="4" t="s">
        <v>114</v>
      </c>
      <c r="B57" s="16">
        <v>40</v>
      </c>
      <c r="C57" s="2">
        <f t="shared" si="0"/>
        <v>8</v>
      </c>
      <c r="D57" s="16">
        <v>98</v>
      </c>
      <c r="E57" s="2">
        <f t="shared" si="1"/>
        <v>19.600000000000001</v>
      </c>
      <c r="F57" s="2">
        <v>100</v>
      </c>
      <c r="G57" s="2">
        <v>10</v>
      </c>
      <c r="H57" s="2">
        <f t="shared" si="2"/>
        <v>37.6</v>
      </c>
      <c r="I57" s="16">
        <v>95</v>
      </c>
      <c r="J57" s="2">
        <f t="shared" si="3"/>
        <v>47.5</v>
      </c>
      <c r="K57" s="2">
        <f t="shared" si="4"/>
        <v>85.1</v>
      </c>
    </row>
    <row r="58" spans="1:11" x14ac:dyDescent="0.25">
      <c r="A58" s="4" t="s">
        <v>115</v>
      </c>
      <c r="B58" s="16">
        <v>70</v>
      </c>
      <c r="C58" s="2">
        <f t="shared" si="0"/>
        <v>14</v>
      </c>
      <c r="D58" s="16">
        <v>90</v>
      </c>
      <c r="E58" s="2">
        <f t="shared" si="1"/>
        <v>18</v>
      </c>
      <c r="F58" s="2">
        <v>100</v>
      </c>
      <c r="G58" s="2">
        <v>10</v>
      </c>
      <c r="H58" s="2">
        <f t="shared" si="2"/>
        <v>42</v>
      </c>
      <c r="I58" s="16">
        <v>91</v>
      </c>
      <c r="J58" s="2">
        <f t="shared" si="3"/>
        <v>45.5</v>
      </c>
      <c r="K58" s="2">
        <f t="shared" si="4"/>
        <v>87.5</v>
      </c>
    </row>
    <row r="59" spans="1:11" x14ac:dyDescent="0.25">
      <c r="A59" s="4" t="s">
        <v>116</v>
      </c>
      <c r="B59" s="16">
        <v>55</v>
      </c>
      <c r="C59" s="2">
        <f t="shared" si="0"/>
        <v>11</v>
      </c>
      <c r="D59" s="16">
        <v>99</v>
      </c>
      <c r="E59" s="2">
        <f t="shared" si="1"/>
        <v>19.8</v>
      </c>
      <c r="F59" s="2">
        <v>100</v>
      </c>
      <c r="G59" s="2">
        <v>10</v>
      </c>
      <c r="H59" s="2">
        <f t="shared" si="2"/>
        <v>40.799999999999997</v>
      </c>
      <c r="I59" s="16">
        <v>92</v>
      </c>
      <c r="J59" s="2">
        <f t="shared" si="3"/>
        <v>46</v>
      </c>
      <c r="K59" s="2">
        <f t="shared" si="4"/>
        <v>86.8</v>
      </c>
    </row>
    <row r="60" spans="1:11" x14ac:dyDescent="0.25">
      <c r="A60" s="4" t="s">
        <v>117</v>
      </c>
      <c r="B60" s="16">
        <v>25</v>
      </c>
      <c r="C60" s="2">
        <f t="shared" si="0"/>
        <v>5</v>
      </c>
      <c r="D60" s="16">
        <v>80</v>
      </c>
      <c r="E60" s="2">
        <f t="shared" si="1"/>
        <v>16</v>
      </c>
      <c r="F60" s="2">
        <v>100</v>
      </c>
      <c r="G60" s="2">
        <v>10</v>
      </c>
      <c r="H60" s="2">
        <f t="shared" si="2"/>
        <v>31</v>
      </c>
      <c r="I60" s="16">
        <v>87</v>
      </c>
      <c r="J60" s="2">
        <f t="shared" si="3"/>
        <v>43.5</v>
      </c>
      <c r="K60" s="2">
        <f t="shared" si="4"/>
        <v>74.5</v>
      </c>
    </row>
    <row r="61" spans="1:11" x14ac:dyDescent="0.25">
      <c r="A61" s="4" t="s">
        <v>118</v>
      </c>
      <c r="B61" s="16">
        <v>35</v>
      </c>
      <c r="C61" s="2">
        <f t="shared" si="0"/>
        <v>7</v>
      </c>
      <c r="D61" s="16">
        <v>84</v>
      </c>
      <c r="E61" s="2">
        <f t="shared" si="1"/>
        <v>16.8</v>
      </c>
      <c r="F61" s="2">
        <v>100</v>
      </c>
      <c r="G61" s="2">
        <v>10</v>
      </c>
      <c r="H61" s="2">
        <f t="shared" si="2"/>
        <v>33.799999999999997</v>
      </c>
      <c r="I61" s="16">
        <v>93</v>
      </c>
      <c r="J61" s="2">
        <f t="shared" si="3"/>
        <v>46.5</v>
      </c>
      <c r="K61" s="2">
        <f t="shared" si="4"/>
        <v>80.3</v>
      </c>
    </row>
    <row r="62" spans="1:11" x14ac:dyDescent="0.25">
      <c r="A62" s="4" t="s">
        <v>119</v>
      </c>
      <c r="B62" s="16">
        <v>60</v>
      </c>
      <c r="C62" s="2">
        <f t="shared" si="0"/>
        <v>12</v>
      </c>
      <c r="D62" s="16">
        <v>72</v>
      </c>
      <c r="E62" s="2">
        <f t="shared" si="1"/>
        <v>14.4</v>
      </c>
      <c r="F62" s="2">
        <v>100</v>
      </c>
      <c r="G62" s="2">
        <v>10</v>
      </c>
      <c r="H62" s="2">
        <f t="shared" si="2"/>
        <v>36.4</v>
      </c>
      <c r="I62" s="16">
        <v>86</v>
      </c>
      <c r="J62" s="2">
        <f t="shared" si="3"/>
        <v>43</v>
      </c>
      <c r="K62" s="2">
        <f t="shared" si="4"/>
        <v>79.400000000000006</v>
      </c>
    </row>
    <row r="63" spans="1:11" x14ac:dyDescent="0.25">
      <c r="A63" s="4" t="s">
        <v>120</v>
      </c>
      <c r="B63" s="16">
        <v>45</v>
      </c>
      <c r="C63" s="2">
        <f t="shared" si="0"/>
        <v>9</v>
      </c>
      <c r="D63" s="16">
        <v>99</v>
      </c>
      <c r="E63" s="2">
        <f t="shared" si="1"/>
        <v>19.8</v>
      </c>
      <c r="F63" s="2">
        <v>100</v>
      </c>
      <c r="G63" s="2">
        <v>10</v>
      </c>
      <c r="H63" s="2">
        <f t="shared" si="2"/>
        <v>38.799999999999997</v>
      </c>
      <c r="I63" s="16">
        <v>94</v>
      </c>
      <c r="J63" s="2">
        <f t="shared" si="3"/>
        <v>47</v>
      </c>
      <c r="K63" s="2">
        <f t="shared" si="4"/>
        <v>85.8</v>
      </c>
    </row>
    <row r="64" spans="1:11" x14ac:dyDescent="0.25">
      <c r="A64" s="4" t="s">
        <v>121</v>
      </c>
      <c r="B64" s="16">
        <v>75</v>
      </c>
      <c r="C64" s="2">
        <f t="shared" si="0"/>
        <v>15</v>
      </c>
      <c r="D64" s="16">
        <v>99</v>
      </c>
      <c r="E64" s="2">
        <f t="shared" si="1"/>
        <v>19.8</v>
      </c>
      <c r="F64" s="2">
        <v>100</v>
      </c>
      <c r="G64" s="2">
        <v>10</v>
      </c>
      <c r="H64" s="2">
        <f t="shared" si="2"/>
        <v>44.8</v>
      </c>
      <c r="I64" s="16">
        <v>95</v>
      </c>
      <c r="J64" s="2">
        <f t="shared" si="3"/>
        <v>47.5</v>
      </c>
      <c r="K64" s="2">
        <f t="shared" si="4"/>
        <v>92.3</v>
      </c>
    </row>
    <row r="65" spans="1:11" x14ac:dyDescent="0.25">
      <c r="A65" s="4" t="s">
        <v>122</v>
      </c>
      <c r="B65" s="16">
        <v>60</v>
      </c>
      <c r="C65" s="2">
        <f t="shared" si="0"/>
        <v>12</v>
      </c>
      <c r="D65" s="16">
        <v>80</v>
      </c>
      <c r="E65" s="2">
        <f t="shared" si="1"/>
        <v>16</v>
      </c>
      <c r="F65" s="2">
        <v>100</v>
      </c>
      <c r="G65" s="2">
        <v>10</v>
      </c>
      <c r="H65" s="2">
        <f t="shared" si="2"/>
        <v>38</v>
      </c>
      <c r="I65" s="16">
        <v>92</v>
      </c>
      <c r="J65" s="2">
        <f t="shared" si="3"/>
        <v>46</v>
      </c>
      <c r="K65" s="2">
        <f t="shared" si="4"/>
        <v>84</v>
      </c>
    </row>
    <row r="66" spans="1:11" x14ac:dyDescent="0.25">
      <c r="A66" s="4" t="s">
        <v>123</v>
      </c>
      <c r="B66" s="16">
        <v>35</v>
      </c>
      <c r="C66" s="2">
        <f t="shared" si="0"/>
        <v>7</v>
      </c>
      <c r="D66" s="16">
        <v>69</v>
      </c>
      <c r="E66" s="2">
        <f t="shared" si="1"/>
        <v>13.8</v>
      </c>
      <c r="F66" s="2">
        <v>100</v>
      </c>
      <c r="G66" s="2">
        <v>10</v>
      </c>
      <c r="H66" s="2">
        <f t="shared" si="2"/>
        <v>30.8</v>
      </c>
      <c r="I66" s="16">
        <v>85</v>
      </c>
      <c r="J66" s="2">
        <f t="shared" si="3"/>
        <v>42.5</v>
      </c>
      <c r="K66" s="2">
        <f t="shared" si="4"/>
        <v>73.3</v>
      </c>
    </row>
    <row r="67" spans="1:11" x14ac:dyDescent="0.25">
      <c r="A67" s="4" t="s">
        <v>124</v>
      </c>
      <c r="B67" s="16">
        <v>65</v>
      </c>
      <c r="C67" s="2">
        <f t="shared" si="0"/>
        <v>13</v>
      </c>
      <c r="D67" s="16">
        <v>83</v>
      </c>
      <c r="E67" s="2">
        <f t="shared" si="1"/>
        <v>16.600000000000001</v>
      </c>
      <c r="F67" s="2">
        <v>100</v>
      </c>
      <c r="G67" s="2">
        <v>10</v>
      </c>
      <c r="H67" s="2">
        <f t="shared" si="2"/>
        <v>39.6</v>
      </c>
      <c r="I67" s="16">
        <v>94</v>
      </c>
      <c r="J67" s="2">
        <f t="shared" si="3"/>
        <v>47</v>
      </c>
      <c r="K67" s="2">
        <f t="shared" si="4"/>
        <v>86.6</v>
      </c>
    </row>
    <row r="68" spans="1:11" x14ac:dyDescent="0.25">
      <c r="A68" s="4" t="s">
        <v>125</v>
      </c>
      <c r="B68" s="16">
        <v>30</v>
      </c>
      <c r="C68" s="2">
        <f t="shared" ref="C68:C80" si="5">B68/5</f>
        <v>6</v>
      </c>
      <c r="D68" s="16">
        <v>75</v>
      </c>
      <c r="E68" s="2">
        <f t="shared" ref="E68:E80" si="6">D68/5</f>
        <v>15</v>
      </c>
      <c r="F68" s="2">
        <v>100</v>
      </c>
      <c r="G68" s="2">
        <v>10</v>
      </c>
      <c r="H68" s="2">
        <f t="shared" ref="H68:H80" si="7">C68+E68+G68</f>
        <v>31</v>
      </c>
      <c r="I68" s="16">
        <v>97</v>
      </c>
      <c r="J68" s="2">
        <f t="shared" ref="J68:J80" si="8">I68/2</f>
        <v>48.5</v>
      </c>
      <c r="K68" s="2">
        <f t="shared" ref="K68:K80" si="9">J68+H68</f>
        <v>79.5</v>
      </c>
    </row>
    <row r="69" spans="1:11" x14ac:dyDescent="0.25">
      <c r="A69" s="4" t="s">
        <v>126</v>
      </c>
      <c r="B69" s="16">
        <v>60</v>
      </c>
      <c r="C69" s="2">
        <f t="shared" si="5"/>
        <v>12</v>
      </c>
      <c r="D69" s="16">
        <v>99</v>
      </c>
      <c r="E69" s="2">
        <f t="shared" si="6"/>
        <v>19.8</v>
      </c>
      <c r="F69" s="2">
        <v>100</v>
      </c>
      <c r="G69" s="2">
        <v>10</v>
      </c>
      <c r="H69" s="2">
        <f t="shared" si="7"/>
        <v>41.8</v>
      </c>
      <c r="I69" s="16">
        <v>93</v>
      </c>
      <c r="J69" s="2">
        <f t="shared" si="8"/>
        <v>46.5</v>
      </c>
      <c r="K69" s="2">
        <f t="shared" si="9"/>
        <v>88.3</v>
      </c>
    </row>
    <row r="70" spans="1:11" x14ac:dyDescent="0.25">
      <c r="A70" s="4" t="s">
        <v>127</v>
      </c>
      <c r="B70" s="16">
        <v>30</v>
      </c>
      <c r="C70" s="2">
        <f t="shared" si="5"/>
        <v>6</v>
      </c>
      <c r="D70" s="16">
        <v>70</v>
      </c>
      <c r="E70" s="2">
        <f t="shared" si="6"/>
        <v>14</v>
      </c>
      <c r="F70" s="2">
        <v>100</v>
      </c>
      <c r="G70" s="2">
        <v>10</v>
      </c>
      <c r="H70" s="2">
        <f t="shared" si="7"/>
        <v>30</v>
      </c>
      <c r="I70" s="16">
        <v>93</v>
      </c>
      <c r="J70" s="2">
        <f t="shared" si="8"/>
        <v>46.5</v>
      </c>
      <c r="K70" s="2">
        <f t="shared" si="9"/>
        <v>76.5</v>
      </c>
    </row>
    <row r="71" spans="1:11" x14ac:dyDescent="0.25">
      <c r="A71" s="4" t="s">
        <v>128</v>
      </c>
      <c r="B71" s="16">
        <v>48</v>
      </c>
      <c r="C71" s="2">
        <f t="shared" si="5"/>
        <v>9.6</v>
      </c>
      <c r="D71" s="16">
        <v>92</v>
      </c>
      <c r="E71" s="2">
        <f t="shared" si="6"/>
        <v>18.399999999999999</v>
      </c>
      <c r="F71" s="2">
        <v>100</v>
      </c>
      <c r="G71" s="2">
        <v>10</v>
      </c>
      <c r="H71" s="2">
        <f t="shared" si="7"/>
        <v>38</v>
      </c>
      <c r="I71" s="16">
        <v>94</v>
      </c>
      <c r="J71" s="2">
        <f t="shared" si="8"/>
        <v>47</v>
      </c>
      <c r="K71" s="2">
        <f t="shared" si="9"/>
        <v>85</v>
      </c>
    </row>
    <row r="72" spans="1:11" x14ac:dyDescent="0.25">
      <c r="A72" s="4" t="s">
        <v>129</v>
      </c>
      <c r="B72" s="16">
        <v>30</v>
      </c>
      <c r="C72" s="2">
        <f t="shared" si="5"/>
        <v>6</v>
      </c>
      <c r="D72" s="16">
        <v>88</v>
      </c>
      <c r="E72" s="2">
        <f t="shared" si="6"/>
        <v>17.600000000000001</v>
      </c>
      <c r="F72" s="2">
        <v>100</v>
      </c>
      <c r="G72" s="2">
        <v>10</v>
      </c>
      <c r="H72" s="2">
        <f t="shared" si="7"/>
        <v>33.6</v>
      </c>
      <c r="I72" s="16">
        <v>82</v>
      </c>
      <c r="J72" s="2">
        <f t="shared" si="8"/>
        <v>41</v>
      </c>
      <c r="K72" s="2">
        <f t="shared" si="9"/>
        <v>74.599999999999994</v>
      </c>
    </row>
    <row r="73" spans="1:11" x14ac:dyDescent="0.25">
      <c r="A73" s="4" t="s">
        <v>130</v>
      </c>
      <c r="B73" s="16">
        <v>40</v>
      </c>
      <c r="C73" s="2">
        <f t="shared" si="5"/>
        <v>8</v>
      </c>
      <c r="D73" s="16">
        <v>94</v>
      </c>
      <c r="E73" s="2">
        <f t="shared" si="6"/>
        <v>18.8</v>
      </c>
      <c r="F73" s="2">
        <v>100</v>
      </c>
      <c r="G73" s="2">
        <v>10</v>
      </c>
      <c r="H73" s="2">
        <f t="shared" si="7"/>
        <v>36.799999999999997</v>
      </c>
      <c r="I73" s="16">
        <v>90</v>
      </c>
      <c r="J73" s="2">
        <f t="shared" si="8"/>
        <v>45</v>
      </c>
      <c r="K73" s="2">
        <f t="shared" si="9"/>
        <v>81.8</v>
      </c>
    </row>
    <row r="74" spans="1:11" x14ac:dyDescent="0.25">
      <c r="A74" s="4" t="s">
        <v>131</v>
      </c>
      <c r="B74" s="16">
        <v>30</v>
      </c>
      <c r="C74" s="2">
        <f t="shared" si="5"/>
        <v>6</v>
      </c>
      <c r="D74" s="16">
        <v>88</v>
      </c>
      <c r="E74" s="2">
        <f t="shared" si="6"/>
        <v>17.600000000000001</v>
      </c>
      <c r="F74" s="2">
        <v>100</v>
      </c>
      <c r="G74" s="2">
        <v>10</v>
      </c>
      <c r="H74" s="2">
        <f t="shared" si="7"/>
        <v>33.6</v>
      </c>
      <c r="I74" s="16">
        <v>86</v>
      </c>
      <c r="J74" s="2">
        <f t="shared" si="8"/>
        <v>43</v>
      </c>
      <c r="K74" s="2">
        <f t="shared" si="9"/>
        <v>76.599999999999994</v>
      </c>
    </row>
    <row r="75" spans="1:11" x14ac:dyDescent="0.25">
      <c r="A75" s="4" t="s">
        <v>132</v>
      </c>
      <c r="B75" s="16">
        <v>80</v>
      </c>
      <c r="C75" s="2">
        <f t="shared" si="5"/>
        <v>16</v>
      </c>
      <c r="D75" s="16">
        <v>99</v>
      </c>
      <c r="E75" s="2">
        <f t="shared" si="6"/>
        <v>19.8</v>
      </c>
      <c r="F75" s="2">
        <v>100</v>
      </c>
      <c r="G75" s="2">
        <v>10</v>
      </c>
      <c r="H75" s="2">
        <f t="shared" si="7"/>
        <v>45.8</v>
      </c>
      <c r="I75" s="16">
        <v>94</v>
      </c>
      <c r="J75" s="2">
        <f t="shared" si="8"/>
        <v>47</v>
      </c>
      <c r="K75" s="2">
        <f t="shared" si="9"/>
        <v>92.8</v>
      </c>
    </row>
    <row r="76" spans="1:11" x14ac:dyDescent="0.25">
      <c r="A76" s="4" t="s">
        <v>133</v>
      </c>
      <c r="B76" s="16">
        <v>35</v>
      </c>
      <c r="C76" s="2">
        <f t="shared" si="5"/>
        <v>7</v>
      </c>
      <c r="D76" s="16">
        <v>99</v>
      </c>
      <c r="E76" s="2">
        <f t="shared" si="6"/>
        <v>19.8</v>
      </c>
      <c r="F76" s="2">
        <v>100</v>
      </c>
      <c r="G76" s="2">
        <v>10</v>
      </c>
      <c r="H76" s="2">
        <f t="shared" si="7"/>
        <v>36.799999999999997</v>
      </c>
      <c r="I76" s="16">
        <v>83</v>
      </c>
      <c r="J76" s="2">
        <f t="shared" si="8"/>
        <v>41.5</v>
      </c>
      <c r="K76" s="2">
        <f t="shared" si="9"/>
        <v>78.3</v>
      </c>
    </row>
    <row r="77" spans="1:11" x14ac:dyDescent="0.25">
      <c r="A77" s="4" t="s">
        <v>134</v>
      </c>
      <c r="B77" s="16">
        <v>80</v>
      </c>
      <c r="C77" s="2">
        <f t="shared" si="5"/>
        <v>16</v>
      </c>
      <c r="D77" s="16">
        <v>99</v>
      </c>
      <c r="E77" s="2">
        <f t="shared" si="6"/>
        <v>19.8</v>
      </c>
      <c r="F77" s="2">
        <v>100</v>
      </c>
      <c r="G77" s="2">
        <v>10</v>
      </c>
      <c r="H77" s="2">
        <f t="shared" si="7"/>
        <v>45.8</v>
      </c>
      <c r="I77" s="16">
        <v>98</v>
      </c>
      <c r="J77" s="2">
        <f t="shared" si="8"/>
        <v>49</v>
      </c>
      <c r="K77" s="2">
        <f t="shared" si="9"/>
        <v>94.8</v>
      </c>
    </row>
    <row r="78" spans="1:11" x14ac:dyDescent="0.25">
      <c r="A78" s="4" t="s">
        <v>135</v>
      </c>
      <c r="B78" s="16">
        <v>80</v>
      </c>
      <c r="C78" s="2">
        <f t="shared" si="5"/>
        <v>16</v>
      </c>
      <c r="D78" s="16">
        <v>96</v>
      </c>
      <c r="E78" s="2">
        <f t="shared" si="6"/>
        <v>19.2</v>
      </c>
      <c r="F78" s="2">
        <v>100</v>
      </c>
      <c r="G78" s="2">
        <v>10</v>
      </c>
      <c r="H78" s="2">
        <f t="shared" si="7"/>
        <v>45.2</v>
      </c>
      <c r="I78" s="16">
        <v>89</v>
      </c>
      <c r="J78" s="2">
        <f t="shared" si="8"/>
        <v>44.5</v>
      </c>
      <c r="K78" s="2">
        <f t="shared" si="9"/>
        <v>89.7</v>
      </c>
    </row>
    <row r="79" spans="1:11" x14ac:dyDescent="0.25">
      <c r="A79" s="4" t="s">
        <v>136</v>
      </c>
      <c r="B79" s="16">
        <v>30</v>
      </c>
      <c r="C79" s="2">
        <f t="shared" si="5"/>
        <v>6</v>
      </c>
      <c r="D79" s="16">
        <v>78</v>
      </c>
      <c r="E79" s="2">
        <f t="shared" si="6"/>
        <v>15.6</v>
      </c>
      <c r="F79" s="2">
        <v>100</v>
      </c>
      <c r="G79" s="2">
        <v>10</v>
      </c>
      <c r="H79" s="2">
        <f t="shared" si="7"/>
        <v>31.6</v>
      </c>
      <c r="I79" s="16">
        <v>79</v>
      </c>
      <c r="J79" s="2">
        <f t="shared" si="8"/>
        <v>39.5</v>
      </c>
      <c r="K79" s="2">
        <f t="shared" si="9"/>
        <v>71.099999999999994</v>
      </c>
    </row>
    <row r="80" spans="1:11" x14ac:dyDescent="0.25">
      <c r="A80" s="4" t="s">
        <v>137</v>
      </c>
      <c r="B80" s="16">
        <v>85</v>
      </c>
      <c r="C80" s="2">
        <f t="shared" si="5"/>
        <v>17</v>
      </c>
      <c r="D80" s="16">
        <v>98</v>
      </c>
      <c r="E80" s="2">
        <f t="shared" si="6"/>
        <v>19.600000000000001</v>
      </c>
      <c r="F80" s="2">
        <v>100</v>
      </c>
      <c r="G80" s="2">
        <v>10</v>
      </c>
      <c r="H80" s="2">
        <f t="shared" si="7"/>
        <v>46.6</v>
      </c>
      <c r="I80" s="16">
        <v>96</v>
      </c>
      <c r="J80" s="2">
        <f t="shared" si="8"/>
        <v>48</v>
      </c>
      <c r="K80" s="2">
        <f t="shared" si="9"/>
        <v>94.6</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HOME</vt:lpstr>
      <vt:lpstr>DASHBOARD</vt:lpstr>
      <vt:lpstr>T L</vt:lpstr>
      <vt:lpstr>AVG PER GENDER</vt:lpstr>
      <vt:lpstr>CLASS COMPO</vt:lpstr>
      <vt:lpstr>AVG SUB</vt:lpstr>
      <vt:lpstr>PASS RATE</vt:lpstr>
      <vt:lpstr>Sheet5</vt:lpstr>
      <vt:lpstr>MAX MIN</vt:lpstr>
      <vt:lpstr>HIGHEST</vt:lpstr>
      <vt:lpstr>Sheet10 (2)</vt:lpstr>
      <vt:lpstr>Sheet10</vt:lpstr>
      <vt:lpstr>Sheet4</vt:lpstr>
      <vt:lpstr>DATA</vt:lpstr>
      <vt:lpstr>Sheet1</vt:lpstr>
      <vt:lpstr>MATH</vt:lpstr>
      <vt:lpstr>ENGLISH</vt:lpstr>
      <vt:lpstr>COMPUTING</vt:lpstr>
      <vt:lpstr>FRENCH</vt:lpstr>
      <vt:lpstr>SCIENCE</vt:lpstr>
      <vt:lpstr>OWOP</vt:lpstr>
      <vt:lpstr>RME</vt:lpstr>
      <vt:lpstr>HISTORY.</vt:lpstr>
      <vt:lpstr>TWI</vt:lpstr>
      <vt:lpstr>CA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dc:creator>
  <cp:lastModifiedBy>Bernard Doyi</cp:lastModifiedBy>
  <dcterms:created xsi:type="dcterms:W3CDTF">2015-06-05T18:19:34Z</dcterms:created>
  <dcterms:modified xsi:type="dcterms:W3CDTF">2025-02-12T21:45:49Z</dcterms:modified>
</cp:coreProperties>
</file>